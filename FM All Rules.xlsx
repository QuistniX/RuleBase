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Frans\Rules\"/>
    </mc:Choice>
  </mc:AlternateContent>
  <xr:revisionPtr revIDLastSave="0" documentId="13_ncr:1_{BDA0F80A-A19D-4872-A5BA-17870B3BDB89}" xr6:coauthVersionLast="47" xr6:coauthVersionMax="47" xr10:uidLastSave="{00000000-0000-0000-0000-000000000000}"/>
  <bookViews>
    <workbookView xWindow="-120" yWindow="-120" windowWidth="29040" windowHeight="17520" firstSheet="2" activeTab="2" xr2:uid="{00000000-000D-0000-FFFF-FFFF00000000}"/>
  </bookViews>
  <sheets>
    <sheet name="Criteria" sheetId="7" r:id="rId1"/>
    <sheet name="Titles" sheetId="6" r:id="rId2"/>
    <sheet name="Database" sheetId="1" r:id="rId3"/>
    <sheet name="Tables" sheetId="4" r:id="rId4"/>
    <sheet name="Public root" sheetId="2" r:id="rId5"/>
    <sheet name="Systems" sheetId="3" r:id="rId6"/>
    <sheet name="Data" sheetId="8" r:id="rId7"/>
  </sheets>
  <definedNames>
    <definedName name="_xlnm._FilterDatabase" localSheetId="2" hidden="1">Database!$A$1:$R$1131</definedName>
    <definedName name="_xlnm.Print_Area" localSheetId="2">Database!$A$1:$J$497</definedName>
    <definedName name="_xlnm.Print_Area" localSheetId="1">Titles!$C$1:$I$12</definedName>
    <definedName name="_xlnm.Print_Titles" localSheetId="2">Database!$1:$1</definedName>
    <definedName name="_xlnm.Print_Titles" localSheetId="1">Titles!$1:$12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26" i="1" l="1"/>
  <c r="B1125" i="1"/>
  <c r="B1124" i="1"/>
  <c r="B1123" i="1"/>
  <c r="B1122" i="1"/>
  <c r="B1121" i="1"/>
  <c r="B1120" i="1"/>
  <c r="B1119" i="1"/>
  <c r="B1118" i="1"/>
  <c r="B1117" i="1"/>
  <c r="B1116" i="1"/>
  <c r="B1128" i="1"/>
  <c r="B1127"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45" i="1"/>
  <c r="B44" i="1"/>
  <c r="B43" i="1"/>
  <c r="B42" i="1"/>
  <c r="B41" i="1"/>
  <c r="B40" i="1"/>
  <c r="B39" i="1"/>
  <c r="B38" i="1"/>
  <c r="B37"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l="1"/>
  <c r="B53" i="1"/>
  <c r="B52" i="1"/>
  <c r="B51" i="1"/>
  <c r="B50" i="1"/>
  <c r="B49" i="1"/>
  <c r="B48" i="1"/>
  <c r="B47" i="1"/>
  <c r="B46" i="1"/>
  <c r="B36" i="1"/>
  <c r="B35" i="1"/>
  <c r="B34" i="1"/>
  <c r="B33" i="1"/>
  <c r="B32" i="1"/>
  <c r="B31" i="1"/>
  <c r="B464" i="1"/>
  <c r="B461" i="1"/>
  <c r="B460" i="1"/>
  <c r="B459" i="1"/>
  <c r="B462" i="1"/>
  <c r="B557" i="1"/>
  <c r="B389" i="1"/>
  <c r="B388" i="1"/>
  <c r="B387" i="1"/>
  <c r="B386" i="1"/>
  <c r="B406" i="1"/>
  <c r="B457" i="1"/>
  <c r="B453" i="1"/>
  <c r="B449" i="1"/>
  <c r="B447" i="1"/>
  <c r="B450" i="1"/>
  <c r="B448" i="1"/>
  <c r="B446" i="1"/>
  <c r="B445" i="1"/>
  <c r="B444" i="1"/>
  <c r="B443" i="1"/>
  <c r="B442" i="1"/>
  <c r="B441" i="1"/>
  <c r="B440" i="1"/>
  <c r="B439" i="1"/>
  <c r="B438" i="1"/>
  <c r="B437" i="1"/>
  <c r="B404" i="1"/>
  <c r="B395" i="1"/>
  <c r="B419" i="1"/>
  <c r="B427" i="1"/>
  <c r="B426" i="1"/>
  <c r="B425" i="1"/>
  <c r="B417" i="1"/>
  <c r="B416" i="1"/>
  <c r="B415" i="1"/>
  <c r="B414" i="1"/>
  <c r="B413" i="1"/>
  <c r="B412" i="1"/>
  <c r="B411" i="1"/>
  <c r="B410" i="1"/>
  <c r="B423" i="1"/>
  <c r="B422" i="1"/>
  <c r="B421" i="1"/>
  <c r="B420" i="1"/>
  <c r="B405" i="1" l="1"/>
  <c r="B403" i="1"/>
  <c r="B400" i="1"/>
  <c r="B399" i="1"/>
  <c r="B398" i="1"/>
  <c r="B397" i="1"/>
  <c r="B396" i="1"/>
  <c r="B393" i="1" l="1"/>
  <c r="B392" i="1"/>
  <c r="B391" i="1"/>
  <c r="B390" i="1"/>
  <c r="B458" i="1"/>
  <c r="B454" i="1"/>
  <c r="B436" i="1"/>
  <c r="B430" i="1"/>
  <c r="B429" i="1"/>
  <c r="B428" i="1"/>
  <c r="B435" i="1"/>
  <c r="B434" i="1"/>
  <c r="B433" i="1"/>
  <c r="B432" i="1"/>
  <c r="B431" i="1"/>
  <c r="B424" i="1"/>
  <c r="B418" i="1"/>
  <c r="B409" i="1"/>
  <c r="B408" i="1"/>
  <c r="B456" i="1"/>
  <c r="B407" i="1"/>
  <c r="B455" i="1"/>
  <c r="B402" i="1"/>
  <c r="B401" i="1"/>
  <c r="B394" i="1"/>
  <c r="B452" i="1" l="1"/>
  <c r="B451" i="1"/>
  <c r="B1055" i="1" l="1"/>
  <c r="B107" i="1"/>
  <c r="B106" i="1"/>
  <c r="B105" i="1"/>
  <c r="B218" i="1"/>
  <c r="B217" i="1"/>
  <c r="B216" i="1"/>
  <c r="B215" i="1"/>
  <c r="U206" i="1"/>
  <c r="U205" i="1"/>
  <c r="B214" i="1"/>
  <c r="B213" i="1"/>
  <c r="B212" i="1"/>
  <c r="B211" i="1"/>
  <c r="B210" i="1"/>
  <c r="B209" i="1"/>
  <c r="B208" i="1"/>
  <c r="B207" i="1"/>
  <c r="B687" i="1"/>
  <c r="B206" i="1"/>
  <c r="B205" i="1"/>
  <c r="B204" i="1"/>
  <c r="U204" i="1"/>
  <c r="B697" i="1"/>
  <c r="B700" i="1"/>
  <c r="B699" i="1"/>
  <c r="B698" i="1"/>
  <c r="B696" i="1"/>
  <c r="U650" i="1"/>
  <c r="B690" i="1"/>
  <c r="B689" i="1"/>
  <c r="B688" i="1"/>
  <c r="B693" i="1"/>
  <c r="B692" i="1"/>
  <c r="B691" i="1"/>
  <c r="B694" i="1"/>
  <c r="B695" i="1"/>
  <c r="U222" i="1"/>
  <c r="B466" i="1"/>
  <c r="U221" i="1"/>
  <c r="B465" i="1"/>
  <c r="U303" i="1"/>
  <c r="B681" i="1"/>
  <c r="B481" i="1"/>
  <c r="B349" i="1"/>
  <c r="B348" i="1"/>
  <c r="B347" i="1"/>
  <c r="B346" i="1"/>
  <c r="B384" i="1"/>
  <c r="B364" i="1"/>
  <c r="U367" i="1"/>
  <c r="U384" i="1" l="1"/>
  <c r="B382" i="1"/>
  <c r="U383" i="1"/>
  <c r="B381" i="1"/>
  <c r="U381" i="1"/>
  <c r="B377" i="1"/>
  <c r="U380" i="1"/>
  <c r="B376" i="1"/>
  <c r="U364" i="1"/>
  <c r="B361" i="1"/>
  <c r="B701" i="1" l="1"/>
  <c r="U298" i="1"/>
  <c r="B728" i="1"/>
  <c r="B502" i="1"/>
  <c r="B501" i="1"/>
  <c r="U468" i="1"/>
  <c r="U467" i="1"/>
  <c r="U466" i="1"/>
  <c r="U465" i="1"/>
  <c r="U463" i="1"/>
  <c r="B134" i="1"/>
  <c r="B132" i="1"/>
  <c r="B131" i="1"/>
  <c r="B128" i="1"/>
  <c r="B126" i="1"/>
  <c r="U186" i="1"/>
  <c r="U185" i="1"/>
  <c r="U184" i="1"/>
  <c r="U183" i="1"/>
  <c r="U182" i="1"/>
  <c r="B192" i="1"/>
  <c r="B191" i="1"/>
  <c r="B190" i="1"/>
  <c r="B189" i="1"/>
  <c r="B188" i="1"/>
  <c r="U194" i="1"/>
  <c r="U193" i="1"/>
  <c r="U192" i="1"/>
  <c r="B200" i="1"/>
  <c r="B199" i="1"/>
  <c r="B198" i="1"/>
  <c r="B1131" i="1"/>
  <c r="B1130" i="1"/>
  <c r="B1129" i="1"/>
  <c r="B1060" i="1"/>
  <c r="B1059" i="1"/>
  <c r="B1058" i="1"/>
  <c r="B1057" i="1"/>
  <c r="B1056" i="1"/>
  <c r="B1054" i="1"/>
  <c r="B1053" i="1"/>
  <c r="B1052" i="1"/>
  <c r="B1051" i="1"/>
  <c r="B1050" i="1"/>
  <c r="B1049" i="1"/>
  <c r="B1048" i="1"/>
  <c r="B1047" i="1"/>
  <c r="B1046" i="1"/>
  <c r="B1045" i="1"/>
  <c r="B1044" i="1"/>
  <c r="B1043" i="1"/>
  <c r="B1042" i="1"/>
  <c r="B1041" i="1"/>
  <c r="B1040" i="1"/>
  <c r="B1039" i="1"/>
  <c r="B1038" i="1"/>
  <c r="B1037" i="1"/>
  <c r="B1036" i="1"/>
  <c r="B1035" i="1"/>
  <c r="B1034" i="1"/>
  <c r="A1033" i="1"/>
  <c r="B1032" i="1"/>
  <c r="B1031" i="1"/>
  <c r="B1030" i="1"/>
  <c r="B1029" i="1"/>
  <c r="B1028" i="1"/>
  <c r="B1027" i="1"/>
  <c r="B1026" i="1"/>
  <c r="B1025" i="1"/>
  <c r="B1024" i="1"/>
  <c r="B1023" i="1"/>
  <c r="B1022" i="1"/>
  <c r="B1021" i="1"/>
  <c r="B1020" i="1"/>
  <c r="B1019" i="1"/>
  <c r="B1018" i="1"/>
  <c r="B1017" i="1"/>
  <c r="B1016" i="1"/>
  <c r="B1015" i="1"/>
  <c r="U1013" i="1"/>
  <c r="B1014" i="1"/>
  <c r="U1012" i="1"/>
  <c r="B1013" i="1"/>
  <c r="U1011" i="1"/>
  <c r="B1012" i="1"/>
  <c r="U1010" i="1"/>
  <c r="B1011" i="1"/>
  <c r="U1009" i="1"/>
  <c r="B1010" i="1"/>
  <c r="U1008" i="1"/>
  <c r="B1009" i="1"/>
  <c r="U1007" i="1"/>
  <c r="B1008" i="1"/>
  <c r="U1006" i="1"/>
  <c r="B1007" i="1"/>
  <c r="U1005" i="1"/>
  <c r="B1006" i="1"/>
  <c r="U1004" i="1"/>
  <c r="B1005" i="1"/>
  <c r="U1003" i="1"/>
  <c r="B1004" i="1"/>
  <c r="U1002" i="1"/>
  <c r="B1003" i="1"/>
  <c r="U1001" i="1"/>
  <c r="B1002" i="1"/>
  <c r="U1000" i="1"/>
  <c r="B1001" i="1"/>
  <c r="U999" i="1"/>
  <c r="B1000" i="1"/>
  <c r="B999" i="1"/>
  <c r="U997" i="1"/>
  <c r="B998" i="1"/>
  <c r="U996" i="1"/>
  <c r="B997" i="1"/>
  <c r="U995" i="1"/>
  <c r="B996" i="1"/>
  <c r="U994" i="1"/>
  <c r="B995" i="1"/>
  <c r="B994" i="1"/>
  <c r="U992" i="1"/>
  <c r="B993" i="1"/>
  <c r="U991" i="1"/>
  <c r="B992" i="1"/>
  <c r="U990" i="1"/>
  <c r="B991" i="1"/>
  <c r="U989" i="1"/>
  <c r="B990" i="1"/>
  <c r="U988" i="1"/>
  <c r="B989" i="1"/>
  <c r="U987" i="1"/>
  <c r="B988" i="1"/>
  <c r="U986" i="1"/>
  <c r="B987" i="1"/>
  <c r="U985" i="1"/>
  <c r="B986" i="1"/>
  <c r="U984" i="1"/>
  <c r="B985" i="1"/>
  <c r="U983" i="1"/>
  <c r="B984" i="1"/>
  <c r="U982" i="1"/>
  <c r="B983" i="1"/>
  <c r="U981" i="1"/>
  <c r="B982" i="1"/>
  <c r="U980" i="1"/>
  <c r="B981" i="1"/>
  <c r="U979" i="1"/>
  <c r="B980" i="1"/>
  <c r="U978" i="1"/>
  <c r="B979" i="1"/>
  <c r="U977" i="1"/>
  <c r="B978" i="1"/>
  <c r="B977" i="1"/>
  <c r="B976" i="1"/>
  <c r="B975" i="1"/>
  <c r="B974" i="1"/>
  <c r="U972" i="1"/>
  <c r="B973" i="1"/>
  <c r="U971" i="1"/>
  <c r="B972" i="1"/>
  <c r="U970" i="1"/>
  <c r="B971" i="1"/>
  <c r="U969" i="1"/>
  <c r="B970" i="1"/>
  <c r="U968" i="1"/>
  <c r="B969" i="1"/>
  <c r="U967" i="1"/>
  <c r="B968" i="1"/>
  <c r="B967" i="1"/>
  <c r="B966" i="1"/>
  <c r="B965" i="1"/>
  <c r="B964" i="1"/>
  <c r="B963" i="1"/>
  <c r="B962" i="1"/>
  <c r="B961" i="1"/>
  <c r="B960" i="1"/>
  <c r="U958" i="1"/>
  <c r="B959" i="1"/>
  <c r="U957" i="1"/>
  <c r="B958" i="1"/>
  <c r="U956" i="1"/>
  <c r="B957" i="1"/>
  <c r="U955" i="1"/>
  <c r="B956" i="1"/>
  <c r="U954" i="1"/>
  <c r="B955" i="1"/>
  <c r="U953" i="1"/>
  <c r="B954" i="1"/>
  <c r="B953" i="1"/>
  <c r="B952" i="1"/>
  <c r="B951" i="1"/>
  <c r="B950" i="1"/>
  <c r="B949" i="1"/>
  <c r="B948" i="1"/>
  <c r="B947" i="1"/>
  <c r="B946" i="1"/>
  <c r="B945" i="1"/>
  <c r="B944" i="1"/>
  <c r="B943" i="1"/>
  <c r="B942" i="1"/>
  <c r="B941" i="1"/>
  <c r="B940" i="1"/>
  <c r="B939" i="1"/>
  <c r="B938" i="1"/>
  <c r="U936" i="1"/>
  <c r="B937" i="1"/>
  <c r="B936" i="1"/>
  <c r="U934" i="1"/>
  <c r="B935" i="1"/>
  <c r="U933" i="1"/>
  <c r="B934" i="1"/>
  <c r="U932" i="1"/>
  <c r="B933" i="1"/>
  <c r="U931" i="1"/>
  <c r="B932" i="1"/>
  <c r="B931" i="1"/>
  <c r="B930" i="1"/>
  <c r="B929" i="1"/>
  <c r="B928" i="1"/>
  <c r="B927" i="1"/>
  <c r="B926" i="1"/>
  <c r="B925" i="1"/>
  <c r="U923" i="1"/>
  <c r="B924" i="1"/>
  <c r="U922" i="1"/>
  <c r="B923" i="1"/>
  <c r="U921" i="1"/>
  <c r="B922" i="1"/>
  <c r="U920" i="1"/>
  <c r="B921" i="1"/>
  <c r="B920" i="1"/>
  <c r="B919" i="1"/>
  <c r="U917" i="1"/>
  <c r="B918" i="1"/>
  <c r="U916" i="1"/>
  <c r="B917" i="1"/>
  <c r="U915" i="1"/>
  <c r="B916" i="1"/>
  <c r="U914" i="1"/>
  <c r="B915" i="1"/>
  <c r="U913" i="1"/>
  <c r="B914" i="1"/>
  <c r="B913" i="1"/>
  <c r="B912" i="1"/>
  <c r="U910" i="1"/>
  <c r="B911" i="1"/>
  <c r="B910" i="1"/>
  <c r="B909" i="1"/>
  <c r="B908" i="1"/>
  <c r="B907" i="1"/>
  <c r="U905" i="1"/>
  <c r="B906" i="1"/>
  <c r="B905" i="1"/>
  <c r="B904" i="1"/>
  <c r="B903" i="1"/>
  <c r="B902" i="1"/>
  <c r="B901" i="1"/>
  <c r="B900" i="1"/>
  <c r="B899" i="1"/>
  <c r="B898" i="1"/>
  <c r="B897" i="1"/>
  <c r="B896" i="1"/>
  <c r="B895" i="1"/>
  <c r="B894" i="1"/>
  <c r="U892" i="1"/>
  <c r="B893" i="1"/>
  <c r="B892" i="1"/>
  <c r="U890" i="1"/>
  <c r="B891" i="1"/>
  <c r="B890" i="1"/>
  <c r="U888" i="1"/>
  <c r="B889" i="1"/>
  <c r="U887" i="1"/>
  <c r="B888" i="1"/>
  <c r="U886" i="1"/>
  <c r="B887" i="1"/>
  <c r="U885" i="1"/>
  <c r="B886" i="1"/>
  <c r="U884" i="1"/>
  <c r="B885" i="1"/>
  <c r="U883" i="1"/>
  <c r="B884" i="1"/>
  <c r="U882" i="1"/>
  <c r="B883" i="1"/>
  <c r="U881" i="1"/>
  <c r="B882" i="1"/>
  <c r="B881" i="1"/>
  <c r="B880" i="1"/>
  <c r="B879" i="1"/>
  <c r="B878" i="1"/>
  <c r="B877" i="1"/>
  <c r="B876" i="1"/>
  <c r="B875" i="1"/>
  <c r="B874" i="1"/>
  <c r="U872" i="1"/>
  <c r="B873" i="1"/>
  <c r="U871" i="1"/>
  <c r="B872" i="1"/>
  <c r="U870" i="1"/>
  <c r="B871" i="1"/>
  <c r="U869" i="1"/>
  <c r="B870" i="1"/>
  <c r="U868" i="1"/>
  <c r="B869" i="1"/>
  <c r="U867" i="1"/>
  <c r="B868" i="1"/>
  <c r="U866" i="1"/>
  <c r="B867" i="1"/>
  <c r="U865" i="1"/>
  <c r="B866" i="1"/>
  <c r="U864" i="1"/>
  <c r="B865" i="1"/>
  <c r="B864" i="1"/>
  <c r="U862" i="1"/>
  <c r="B863" i="1"/>
  <c r="B862" i="1"/>
  <c r="B861" i="1"/>
  <c r="B860" i="1"/>
  <c r="U858" i="1"/>
  <c r="B859" i="1"/>
  <c r="U857" i="1"/>
  <c r="B858" i="1"/>
  <c r="B857" i="1"/>
  <c r="U855" i="1"/>
  <c r="B856" i="1"/>
  <c r="U854" i="1"/>
  <c r="B855" i="1"/>
  <c r="U853" i="1"/>
  <c r="B854" i="1"/>
  <c r="U852" i="1"/>
  <c r="B853" i="1"/>
  <c r="U851" i="1"/>
  <c r="B852" i="1"/>
  <c r="U850" i="1"/>
  <c r="B851" i="1"/>
  <c r="U849" i="1"/>
  <c r="B850" i="1"/>
  <c r="U848" i="1"/>
  <c r="B849" i="1"/>
  <c r="B848" i="1"/>
  <c r="B847" i="1"/>
  <c r="B846" i="1"/>
  <c r="B845" i="1"/>
  <c r="B844" i="1"/>
  <c r="B843" i="1"/>
  <c r="B842" i="1"/>
  <c r="B841" i="1"/>
  <c r="U839" i="1"/>
  <c r="B840" i="1"/>
  <c r="B839" i="1"/>
  <c r="B838" i="1"/>
  <c r="B837" i="1"/>
  <c r="U835" i="1"/>
  <c r="B836" i="1"/>
  <c r="U834" i="1"/>
  <c r="B835" i="1"/>
  <c r="U833" i="1"/>
  <c r="B834" i="1"/>
  <c r="U832" i="1"/>
  <c r="B833" i="1"/>
  <c r="U831" i="1"/>
  <c r="B832" i="1"/>
  <c r="U830" i="1"/>
  <c r="B831" i="1"/>
  <c r="U829" i="1"/>
  <c r="B830" i="1"/>
  <c r="U828" i="1"/>
  <c r="B829" i="1"/>
  <c r="U827" i="1"/>
  <c r="B828" i="1"/>
  <c r="U826" i="1"/>
  <c r="B827" i="1"/>
  <c r="U825" i="1"/>
  <c r="B826" i="1"/>
  <c r="U824" i="1"/>
  <c r="B825" i="1"/>
  <c r="U823" i="1"/>
  <c r="B824" i="1"/>
  <c r="U822" i="1"/>
  <c r="B823" i="1"/>
  <c r="U821" i="1"/>
  <c r="B822" i="1"/>
  <c r="B821" i="1"/>
  <c r="U819" i="1"/>
  <c r="B820" i="1"/>
  <c r="U818" i="1"/>
  <c r="B819" i="1"/>
  <c r="B818" i="1"/>
  <c r="B817" i="1"/>
  <c r="B816" i="1"/>
  <c r="B815" i="1"/>
  <c r="B814" i="1"/>
  <c r="B813" i="1"/>
  <c r="B812" i="1"/>
  <c r="B811" i="1"/>
  <c r="B810" i="1"/>
  <c r="B809" i="1"/>
  <c r="B808" i="1"/>
  <c r="B807" i="1"/>
  <c r="B806" i="1"/>
  <c r="U804" i="1"/>
  <c r="B804" i="1"/>
  <c r="B802" i="1"/>
  <c r="B734" i="1"/>
  <c r="B733" i="1"/>
  <c r="B732" i="1"/>
  <c r="B731" i="1"/>
  <c r="B730" i="1"/>
  <c r="B729" i="1"/>
  <c r="B727" i="1"/>
  <c r="B726" i="1"/>
  <c r="U794" i="1"/>
  <c r="B725" i="1"/>
  <c r="U793" i="1"/>
  <c r="B724" i="1"/>
  <c r="U792" i="1"/>
  <c r="B723" i="1"/>
  <c r="U791" i="1"/>
  <c r="B722" i="1"/>
  <c r="B721" i="1"/>
  <c r="B720" i="1"/>
  <c r="B719" i="1"/>
  <c r="B718" i="1"/>
  <c r="B717" i="1"/>
  <c r="B716" i="1"/>
  <c r="U784" i="1"/>
  <c r="B715" i="1"/>
  <c r="B714" i="1"/>
  <c r="B713" i="1"/>
  <c r="B712" i="1"/>
  <c r="U780" i="1"/>
  <c r="B711" i="1"/>
  <c r="U779" i="1"/>
  <c r="B710" i="1"/>
  <c r="U778" i="1"/>
  <c r="B709" i="1"/>
  <c r="U777" i="1"/>
  <c r="B708" i="1"/>
  <c r="U776" i="1"/>
  <c r="B707" i="1"/>
  <c r="U775" i="1"/>
  <c r="B805" i="1"/>
  <c r="U774" i="1"/>
  <c r="B703" i="1"/>
  <c r="U773" i="1"/>
  <c r="B803" i="1"/>
  <c r="U772" i="1"/>
  <c r="B702" i="1"/>
  <c r="U771" i="1"/>
  <c r="B801" i="1"/>
  <c r="U770" i="1"/>
  <c r="B800" i="1"/>
  <c r="U769" i="1"/>
  <c r="B799" i="1"/>
  <c r="B798" i="1"/>
  <c r="B797" i="1"/>
  <c r="B796" i="1"/>
  <c r="B795" i="1"/>
  <c r="B794" i="1"/>
  <c r="U763" i="1"/>
  <c r="B793" i="1"/>
  <c r="U762" i="1"/>
  <c r="B792" i="1"/>
  <c r="U761" i="1"/>
  <c r="B791" i="1"/>
  <c r="U760" i="1"/>
  <c r="B790" i="1"/>
  <c r="B789" i="1"/>
  <c r="U758" i="1"/>
  <c r="B788" i="1"/>
  <c r="U757" i="1"/>
  <c r="B787" i="1"/>
  <c r="U756" i="1"/>
  <c r="B786" i="1"/>
  <c r="U755" i="1"/>
  <c r="B785" i="1"/>
  <c r="B784" i="1"/>
  <c r="B783" i="1"/>
  <c r="B782" i="1"/>
  <c r="B781" i="1"/>
  <c r="B780" i="1"/>
  <c r="B779" i="1"/>
  <c r="B778" i="1"/>
  <c r="B777" i="1"/>
  <c r="B776" i="1"/>
  <c r="B775" i="1"/>
  <c r="B271" i="1"/>
  <c r="B270" i="1"/>
  <c r="U742" i="1"/>
  <c r="B268" i="1"/>
  <c r="B774" i="1"/>
  <c r="B773" i="1"/>
  <c r="B772" i="1"/>
  <c r="B771" i="1"/>
  <c r="B770" i="1"/>
  <c r="B769" i="1"/>
  <c r="B768" i="1"/>
  <c r="B767" i="1"/>
  <c r="B766" i="1"/>
  <c r="B765" i="1"/>
  <c r="B764" i="1"/>
  <c r="B763" i="1"/>
  <c r="B762" i="1"/>
  <c r="B761" i="1"/>
  <c r="B760" i="1"/>
  <c r="B759" i="1"/>
  <c r="B758" i="1"/>
  <c r="B757" i="1"/>
  <c r="U723" i="1"/>
  <c r="B756" i="1"/>
  <c r="U722" i="1"/>
  <c r="B755" i="1"/>
  <c r="U721" i="1"/>
  <c r="B754" i="1"/>
  <c r="U720" i="1"/>
  <c r="B753" i="1"/>
  <c r="B752" i="1"/>
  <c r="U718" i="1"/>
  <c r="B751" i="1"/>
  <c r="B750" i="1"/>
  <c r="B749" i="1"/>
  <c r="B748" i="1"/>
  <c r="U714" i="1"/>
  <c r="B747" i="1"/>
  <c r="U713" i="1"/>
  <c r="B746" i="1"/>
  <c r="U712" i="1"/>
  <c r="B745" i="1"/>
  <c r="U711" i="1"/>
  <c r="B744" i="1"/>
  <c r="U710" i="1"/>
  <c r="B743" i="1"/>
  <c r="U709" i="1"/>
  <c r="B742" i="1"/>
  <c r="U708" i="1"/>
  <c r="B741" i="1"/>
  <c r="U707" i="1"/>
  <c r="B740" i="1"/>
  <c r="U706" i="1"/>
  <c r="B739" i="1"/>
  <c r="U705" i="1"/>
  <c r="B738" i="1"/>
  <c r="U704" i="1"/>
  <c r="B737" i="1"/>
  <c r="U703" i="1"/>
  <c r="B736" i="1"/>
  <c r="U702" i="1"/>
  <c r="B735" i="1"/>
  <c r="B686" i="1"/>
  <c r="B685" i="1"/>
  <c r="B684" i="1"/>
  <c r="B683" i="1"/>
  <c r="B682" i="1"/>
  <c r="B680" i="1"/>
  <c r="B679" i="1"/>
  <c r="U696" i="1"/>
  <c r="B678" i="1"/>
  <c r="B677" i="1"/>
  <c r="U693" i="1"/>
  <c r="B676" i="1"/>
  <c r="U692" i="1"/>
  <c r="B675" i="1"/>
  <c r="U691" i="1"/>
  <c r="B674" i="1"/>
  <c r="U690" i="1"/>
  <c r="B673" i="1"/>
  <c r="U689" i="1"/>
  <c r="B672" i="1"/>
  <c r="U688" i="1"/>
  <c r="B671" i="1"/>
  <c r="U687" i="1"/>
  <c r="B670" i="1"/>
  <c r="U686" i="1"/>
  <c r="B669" i="1"/>
  <c r="U685" i="1"/>
  <c r="B668" i="1"/>
  <c r="U684" i="1"/>
  <c r="B667" i="1"/>
  <c r="U683" i="1"/>
  <c r="B666" i="1"/>
  <c r="U682" i="1"/>
  <c r="B665" i="1"/>
  <c r="U681" i="1"/>
  <c r="B664" i="1"/>
  <c r="U680" i="1"/>
  <c r="B663" i="1"/>
  <c r="U679" i="1"/>
  <c r="B662" i="1"/>
  <c r="U678" i="1"/>
  <c r="B661" i="1"/>
  <c r="U677" i="1"/>
  <c r="B660" i="1"/>
  <c r="U676" i="1"/>
  <c r="B659" i="1"/>
  <c r="U675" i="1"/>
  <c r="B658" i="1"/>
  <c r="U674" i="1"/>
  <c r="B657" i="1"/>
  <c r="U673" i="1"/>
  <c r="B656" i="1"/>
  <c r="U672" i="1"/>
  <c r="B655" i="1"/>
  <c r="U661" i="1"/>
  <c r="B654" i="1"/>
  <c r="U660" i="1"/>
  <c r="B653" i="1"/>
  <c r="U659" i="1"/>
  <c r="B652" i="1"/>
  <c r="U658" i="1"/>
  <c r="B651" i="1"/>
  <c r="U657" i="1"/>
  <c r="B650" i="1"/>
  <c r="U656" i="1"/>
  <c r="B649" i="1"/>
  <c r="U655" i="1"/>
  <c r="B648" i="1"/>
  <c r="U654" i="1"/>
  <c r="B647" i="1"/>
  <c r="U653" i="1"/>
  <c r="B646" i="1"/>
  <c r="U649" i="1"/>
  <c r="B645" i="1"/>
  <c r="U648" i="1"/>
  <c r="B644" i="1"/>
  <c r="U647" i="1"/>
  <c r="B643" i="1"/>
  <c r="U646" i="1"/>
  <c r="B642" i="1"/>
  <c r="U645" i="1"/>
  <c r="B641" i="1"/>
  <c r="U644" i="1"/>
  <c r="B640" i="1"/>
  <c r="U643" i="1"/>
  <c r="B639" i="1"/>
  <c r="U642" i="1"/>
  <c r="U641" i="1"/>
  <c r="B638" i="1"/>
  <c r="B637" i="1"/>
  <c r="U639" i="1"/>
  <c r="B636" i="1"/>
  <c r="U638" i="1"/>
  <c r="U637" i="1"/>
  <c r="B635" i="1"/>
  <c r="U636" i="1"/>
  <c r="B634" i="1"/>
  <c r="B633" i="1"/>
  <c r="B632" i="1"/>
  <c r="B631" i="1"/>
  <c r="B630" i="1"/>
  <c r="B629" i="1"/>
  <c r="B628" i="1"/>
  <c r="B627" i="1"/>
  <c r="B626" i="1"/>
  <c r="B625" i="1"/>
  <c r="B624" i="1"/>
  <c r="U627" i="1"/>
  <c r="B623" i="1"/>
  <c r="B622" i="1"/>
  <c r="U625" i="1"/>
  <c r="B621" i="1"/>
  <c r="U624" i="1"/>
  <c r="B620" i="1"/>
  <c r="B619" i="1"/>
  <c r="U622" i="1"/>
  <c r="B618" i="1"/>
  <c r="B617" i="1"/>
  <c r="B616" i="1"/>
  <c r="B615" i="1"/>
  <c r="B614" i="1"/>
  <c r="B613" i="1"/>
  <c r="U616" i="1"/>
  <c r="B612" i="1"/>
  <c r="B611" i="1"/>
  <c r="B610" i="1"/>
  <c r="B609" i="1"/>
  <c r="U612" i="1"/>
  <c r="B608" i="1"/>
  <c r="U611" i="1"/>
  <c r="B607" i="1"/>
  <c r="U610" i="1"/>
  <c r="B606" i="1"/>
  <c r="U609" i="1"/>
  <c r="B605" i="1"/>
  <c r="U608" i="1"/>
  <c r="B604" i="1"/>
  <c r="U607" i="1"/>
  <c r="B603" i="1"/>
  <c r="B602" i="1"/>
  <c r="B601" i="1"/>
  <c r="B600" i="1"/>
  <c r="B599" i="1"/>
  <c r="B598" i="1"/>
  <c r="B597" i="1"/>
  <c r="B596" i="1"/>
  <c r="U599" i="1"/>
  <c r="B595" i="1"/>
  <c r="U598" i="1"/>
  <c r="B594" i="1"/>
  <c r="U597" i="1"/>
  <c r="B593" i="1"/>
  <c r="U596" i="1"/>
  <c r="B592" i="1"/>
  <c r="U595" i="1"/>
  <c r="B591" i="1"/>
  <c r="U594" i="1"/>
  <c r="B590" i="1"/>
  <c r="B589" i="1"/>
  <c r="B588" i="1"/>
  <c r="U591" i="1"/>
  <c r="B587" i="1"/>
  <c r="U590" i="1"/>
  <c r="B586" i="1"/>
  <c r="U589" i="1"/>
  <c r="B585" i="1"/>
  <c r="U588" i="1"/>
  <c r="B584" i="1"/>
  <c r="U587" i="1"/>
  <c r="B583" i="1"/>
  <c r="U586" i="1"/>
  <c r="B582" i="1"/>
  <c r="U585" i="1"/>
  <c r="B581" i="1"/>
  <c r="U584" i="1"/>
  <c r="B580" i="1"/>
  <c r="U583" i="1"/>
  <c r="B579" i="1"/>
  <c r="U582" i="1"/>
  <c r="B578" i="1"/>
  <c r="U581" i="1"/>
  <c r="B577" i="1"/>
  <c r="U580" i="1"/>
  <c r="B576" i="1"/>
  <c r="U579" i="1"/>
  <c r="B575" i="1"/>
  <c r="U578" i="1"/>
  <c r="B574" i="1"/>
  <c r="B573" i="1"/>
  <c r="B572" i="1"/>
  <c r="U575" i="1"/>
  <c r="B571" i="1"/>
  <c r="B570" i="1"/>
  <c r="B569" i="1"/>
  <c r="B568" i="1"/>
  <c r="B567" i="1"/>
  <c r="B566" i="1"/>
  <c r="U569" i="1"/>
  <c r="B565" i="1"/>
  <c r="U568" i="1"/>
  <c r="B564" i="1"/>
  <c r="B563" i="1"/>
  <c r="B562" i="1"/>
  <c r="B561" i="1"/>
  <c r="B560" i="1"/>
  <c r="B559" i="1"/>
  <c r="B558"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U531" i="1"/>
  <c r="B529" i="1"/>
  <c r="U530" i="1"/>
  <c r="B528" i="1"/>
  <c r="U529" i="1"/>
  <c r="B527" i="1"/>
  <c r="U528" i="1"/>
  <c r="B526" i="1"/>
  <c r="U527" i="1"/>
  <c r="B525" i="1"/>
  <c r="U526" i="1"/>
  <c r="B524" i="1"/>
  <c r="B523" i="1"/>
  <c r="B522" i="1"/>
  <c r="B521" i="1"/>
  <c r="B520" i="1"/>
  <c r="B519" i="1"/>
  <c r="B518" i="1"/>
  <c r="B517" i="1"/>
  <c r="B516" i="1"/>
  <c r="B515" i="1"/>
  <c r="B514" i="1"/>
  <c r="B513" i="1"/>
  <c r="B512" i="1"/>
  <c r="B511" i="1"/>
  <c r="B510" i="1"/>
  <c r="B509" i="1"/>
  <c r="B508" i="1"/>
  <c r="B507" i="1"/>
  <c r="B506" i="1"/>
  <c r="B505" i="1"/>
  <c r="B504" i="1"/>
  <c r="B503" i="1"/>
  <c r="B500" i="1"/>
  <c r="B499" i="1"/>
  <c r="B498" i="1"/>
  <c r="B497" i="1"/>
  <c r="U500" i="1"/>
  <c r="B496" i="1"/>
  <c r="U499" i="1"/>
  <c r="B495" i="1"/>
  <c r="U498" i="1"/>
  <c r="B494" i="1"/>
  <c r="U497" i="1"/>
  <c r="B493" i="1"/>
  <c r="U496" i="1"/>
  <c r="B492" i="1"/>
  <c r="U495" i="1"/>
  <c r="B491" i="1"/>
  <c r="B490" i="1"/>
  <c r="B489" i="1"/>
  <c r="B488" i="1"/>
  <c r="B487" i="1"/>
  <c r="B486" i="1"/>
  <c r="U489" i="1"/>
  <c r="B485" i="1"/>
  <c r="U488" i="1"/>
  <c r="B484" i="1"/>
  <c r="U487" i="1"/>
  <c r="B483" i="1"/>
  <c r="U486" i="1"/>
  <c r="B482" i="1"/>
  <c r="B480" i="1"/>
  <c r="B479" i="1"/>
  <c r="B478" i="1"/>
  <c r="B477" i="1"/>
  <c r="B476" i="1"/>
  <c r="B475" i="1"/>
  <c r="B474" i="1"/>
  <c r="B473" i="1"/>
  <c r="B472" i="1"/>
  <c r="B471" i="1"/>
  <c r="B470" i="1"/>
  <c r="B469" i="1"/>
  <c r="B468" i="1"/>
  <c r="B467" i="1"/>
  <c r="B383" i="1"/>
  <c r="U470" i="1"/>
  <c r="B380" i="1"/>
  <c r="U469" i="1"/>
  <c r="B379" i="1"/>
  <c r="U385" i="1"/>
  <c r="B378" i="1"/>
  <c r="U382" i="1"/>
  <c r="B375" i="1"/>
  <c r="U379" i="1"/>
  <c r="B374" i="1"/>
  <c r="U378" i="1"/>
  <c r="B373" i="1"/>
  <c r="U377" i="1"/>
  <c r="B372" i="1"/>
  <c r="U376" i="1"/>
  <c r="B371" i="1"/>
  <c r="U375" i="1"/>
  <c r="B370" i="1"/>
  <c r="U374" i="1"/>
  <c r="B369" i="1"/>
  <c r="U373" i="1"/>
  <c r="B368" i="1"/>
  <c r="U372" i="1"/>
  <c r="B367" i="1"/>
  <c r="U371" i="1"/>
  <c r="B366" i="1"/>
  <c r="U370" i="1"/>
  <c r="B365" i="1"/>
  <c r="B363" i="1"/>
  <c r="U366" i="1"/>
  <c r="B362" i="1"/>
  <c r="U363" i="1"/>
  <c r="B360" i="1"/>
  <c r="U362" i="1"/>
  <c r="B359" i="1"/>
  <c r="U361" i="1"/>
  <c r="B358" i="1"/>
  <c r="U360" i="1"/>
  <c r="B357" i="1"/>
  <c r="U359" i="1"/>
  <c r="B356" i="1"/>
  <c r="U358" i="1"/>
  <c r="B355" i="1"/>
  <c r="U357" i="1"/>
  <c r="B354" i="1"/>
  <c r="U356" i="1"/>
  <c r="B353" i="1"/>
  <c r="U355" i="1"/>
  <c r="B352" i="1"/>
  <c r="U354" i="1"/>
  <c r="B351" i="1"/>
  <c r="U353" i="1"/>
  <c r="B350" i="1"/>
  <c r="U349" i="1"/>
  <c r="U348" i="1"/>
  <c r="B345" i="1"/>
  <c r="U347" i="1"/>
  <c r="B344" i="1"/>
  <c r="U346" i="1"/>
  <c r="B343" i="1"/>
  <c r="U345" i="1"/>
  <c r="B342" i="1"/>
  <c r="U344" i="1"/>
  <c r="B341" i="1"/>
  <c r="U343" i="1"/>
  <c r="B340" i="1"/>
  <c r="U342" i="1"/>
  <c r="B339" i="1"/>
  <c r="U341" i="1"/>
  <c r="B338" i="1"/>
  <c r="U340" i="1"/>
  <c r="B337" i="1"/>
  <c r="U339" i="1"/>
  <c r="B336" i="1"/>
  <c r="U338" i="1"/>
  <c r="B335" i="1"/>
  <c r="U337" i="1"/>
  <c r="B334" i="1"/>
  <c r="U336" i="1"/>
  <c r="B333" i="1"/>
  <c r="U335" i="1"/>
  <c r="B332" i="1"/>
  <c r="U334" i="1"/>
  <c r="B331" i="1"/>
  <c r="U333" i="1"/>
  <c r="B330" i="1"/>
  <c r="U332" i="1"/>
  <c r="B329" i="1"/>
  <c r="U331" i="1"/>
  <c r="B328" i="1"/>
  <c r="U330" i="1"/>
  <c r="B327" i="1"/>
  <c r="U329" i="1"/>
  <c r="B326" i="1"/>
  <c r="U328" i="1"/>
  <c r="B325" i="1"/>
  <c r="U327" i="1"/>
  <c r="B324" i="1"/>
  <c r="U326" i="1"/>
  <c r="B323" i="1"/>
  <c r="U325" i="1"/>
  <c r="B322" i="1"/>
  <c r="U324" i="1"/>
  <c r="B321" i="1"/>
  <c r="U323" i="1"/>
  <c r="B320" i="1"/>
  <c r="U322" i="1"/>
  <c r="B319" i="1"/>
  <c r="U321" i="1"/>
  <c r="B318" i="1"/>
  <c r="U320" i="1"/>
  <c r="B317" i="1"/>
  <c r="U319" i="1"/>
  <c r="B316" i="1"/>
  <c r="U318" i="1"/>
  <c r="B315" i="1"/>
  <c r="U317" i="1"/>
  <c r="B314" i="1"/>
  <c r="U316" i="1"/>
  <c r="B313" i="1"/>
  <c r="U315" i="1"/>
  <c r="B312" i="1"/>
  <c r="U314" i="1"/>
  <c r="B311" i="1"/>
  <c r="U313" i="1"/>
  <c r="B310" i="1"/>
  <c r="U312" i="1"/>
  <c r="B309" i="1"/>
  <c r="U311" i="1"/>
  <c r="B308" i="1"/>
  <c r="U310" i="1"/>
  <c r="B307" i="1"/>
  <c r="U309" i="1"/>
  <c r="B306" i="1"/>
  <c r="U308" i="1"/>
  <c r="B305" i="1"/>
  <c r="U307" i="1"/>
  <c r="B304" i="1"/>
  <c r="U306" i="1"/>
  <c r="B303" i="1"/>
  <c r="U305" i="1"/>
  <c r="B302" i="1"/>
  <c r="U304" i="1"/>
  <c r="B301" i="1"/>
  <c r="U302" i="1"/>
  <c r="B300" i="1"/>
  <c r="U301" i="1"/>
  <c r="B299" i="1"/>
  <c r="U300" i="1"/>
  <c r="B298" i="1"/>
  <c r="U297" i="1"/>
  <c r="B297" i="1"/>
  <c r="U296" i="1"/>
  <c r="B296" i="1"/>
  <c r="U295" i="1"/>
  <c r="B295" i="1"/>
  <c r="U294" i="1"/>
  <c r="B294" i="1"/>
  <c r="B293" i="1"/>
  <c r="B292" i="1"/>
  <c r="U291" i="1"/>
  <c r="B291" i="1"/>
  <c r="U290" i="1"/>
  <c r="B290" i="1"/>
  <c r="U289" i="1"/>
  <c r="B289" i="1"/>
  <c r="B706" i="1"/>
  <c r="B705" i="1"/>
  <c r="B704" i="1"/>
  <c r="B288" i="1"/>
  <c r="B287" i="1"/>
  <c r="B286" i="1"/>
  <c r="B285" i="1"/>
  <c r="B284" i="1"/>
  <c r="B283" i="1"/>
  <c r="B282" i="1"/>
  <c r="U278" i="1"/>
  <c r="B281" i="1"/>
  <c r="U277" i="1"/>
  <c r="B280" i="1"/>
  <c r="U276" i="1"/>
  <c r="B279" i="1"/>
  <c r="B278" i="1"/>
  <c r="B277" i="1"/>
  <c r="B276" i="1"/>
  <c r="B275" i="1"/>
  <c r="B274" i="1"/>
  <c r="B273" i="1"/>
  <c r="B272" i="1"/>
  <c r="B269" i="1"/>
  <c r="B267" i="1"/>
  <c r="B266" i="1"/>
  <c r="U264" i="1"/>
  <c r="B265" i="1"/>
  <c r="U263" i="1"/>
  <c r="B264" i="1"/>
  <c r="U262" i="1"/>
  <c r="B263" i="1"/>
  <c r="U261" i="1"/>
  <c r="B262" i="1"/>
  <c r="U260" i="1"/>
  <c r="B261" i="1"/>
  <c r="U259" i="1"/>
  <c r="B260" i="1"/>
  <c r="U258" i="1"/>
  <c r="B259" i="1"/>
  <c r="U257" i="1"/>
  <c r="B258" i="1"/>
  <c r="B257" i="1"/>
  <c r="U256" i="1"/>
  <c r="B256" i="1"/>
  <c r="U255" i="1"/>
  <c r="B255" i="1"/>
  <c r="U254" i="1"/>
  <c r="B254" i="1"/>
  <c r="U253" i="1"/>
  <c r="B253" i="1"/>
  <c r="U252" i="1"/>
  <c r="U251" i="1"/>
  <c r="B252" i="1"/>
  <c r="U250" i="1"/>
  <c r="B251" i="1"/>
  <c r="U249" i="1"/>
  <c r="B250" i="1"/>
  <c r="U248" i="1"/>
  <c r="B249" i="1"/>
  <c r="U247" i="1"/>
  <c r="B248" i="1"/>
  <c r="U246" i="1"/>
  <c r="B247" i="1"/>
  <c r="U245" i="1"/>
  <c r="B246" i="1"/>
  <c r="U244" i="1"/>
  <c r="B245" i="1"/>
  <c r="U243" i="1"/>
  <c r="B244" i="1"/>
  <c r="U242" i="1"/>
  <c r="B243" i="1"/>
  <c r="U241" i="1"/>
  <c r="B242" i="1"/>
  <c r="U240" i="1"/>
  <c r="B241" i="1"/>
  <c r="U239" i="1"/>
  <c r="B240" i="1"/>
  <c r="B239" i="1"/>
  <c r="U238" i="1"/>
  <c r="U237" i="1"/>
  <c r="B238" i="1"/>
  <c r="U236" i="1"/>
  <c r="B237" i="1"/>
  <c r="U235" i="1"/>
  <c r="B236" i="1"/>
  <c r="U234" i="1"/>
  <c r="B235" i="1"/>
  <c r="U233" i="1"/>
  <c r="B234" i="1"/>
  <c r="U232" i="1"/>
  <c r="B233" i="1"/>
  <c r="U231" i="1"/>
  <c r="B232" i="1"/>
  <c r="U230" i="1"/>
  <c r="B231" i="1"/>
  <c r="U229" i="1"/>
  <c r="B230" i="1"/>
  <c r="U228" i="1"/>
  <c r="B229" i="1"/>
  <c r="U227" i="1"/>
  <c r="B228" i="1"/>
  <c r="U226" i="1"/>
  <c r="B227" i="1"/>
  <c r="U225" i="1"/>
  <c r="B226" i="1"/>
  <c r="U224" i="1"/>
  <c r="B225" i="1"/>
  <c r="U223" i="1"/>
  <c r="B224" i="1"/>
  <c r="U220" i="1"/>
  <c r="B223" i="1"/>
  <c r="U203" i="1"/>
  <c r="B222" i="1"/>
  <c r="U202" i="1"/>
  <c r="B221" i="1"/>
  <c r="U201" i="1"/>
  <c r="B220" i="1"/>
  <c r="U200" i="1"/>
  <c r="B463" i="1"/>
  <c r="U199" i="1"/>
  <c r="B385" i="1"/>
  <c r="U198" i="1"/>
  <c r="B219" i="1"/>
  <c r="U197" i="1"/>
  <c r="B203" i="1"/>
  <c r="U196" i="1"/>
  <c r="B202" i="1"/>
  <c r="U195" i="1"/>
  <c r="B201" i="1"/>
  <c r="U191" i="1"/>
  <c r="B197" i="1"/>
  <c r="U190" i="1"/>
  <c r="B196" i="1"/>
  <c r="U189" i="1"/>
  <c r="B195" i="1"/>
  <c r="U188" i="1"/>
  <c r="B194" i="1"/>
  <c r="U187" i="1"/>
  <c r="B193" i="1"/>
  <c r="U181" i="1"/>
  <c r="B187" i="1"/>
  <c r="U180" i="1"/>
  <c r="B186" i="1"/>
  <c r="U179" i="1"/>
  <c r="B185" i="1"/>
  <c r="U178" i="1"/>
  <c r="B184" i="1"/>
  <c r="U177" i="1"/>
  <c r="B183" i="1"/>
  <c r="U176" i="1"/>
  <c r="B182" i="1"/>
  <c r="U175" i="1"/>
  <c r="B181" i="1"/>
  <c r="U174" i="1"/>
  <c r="B180" i="1"/>
  <c r="U173" i="1"/>
  <c r="B179" i="1"/>
  <c r="U172" i="1"/>
  <c r="B178" i="1"/>
  <c r="U171" i="1"/>
  <c r="B177" i="1"/>
  <c r="U170" i="1"/>
  <c r="B176" i="1"/>
  <c r="U169" i="1"/>
  <c r="B175" i="1"/>
  <c r="U168" i="1"/>
  <c r="B174" i="1"/>
  <c r="U167" i="1"/>
  <c r="B173" i="1"/>
  <c r="U166" i="1"/>
  <c r="B172" i="1"/>
  <c r="U165" i="1"/>
  <c r="B171" i="1"/>
  <c r="U164" i="1"/>
  <c r="B170" i="1"/>
  <c r="U163" i="1"/>
  <c r="B169" i="1"/>
  <c r="U162" i="1"/>
  <c r="B168" i="1"/>
  <c r="U161" i="1"/>
  <c r="B167" i="1"/>
  <c r="U160" i="1"/>
  <c r="B166" i="1"/>
  <c r="U159" i="1"/>
  <c r="B165" i="1"/>
  <c r="U158" i="1"/>
  <c r="B164" i="1"/>
  <c r="U157" i="1"/>
  <c r="B163" i="1"/>
  <c r="U156" i="1"/>
  <c r="B162" i="1"/>
  <c r="U155" i="1"/>
  <c r="B161" i="1"/>
  <c r="U154" i="1"/>
  <c r="B160" i="1"/>
  <c r="U153" i="1"/>
  <c r="B159" i="1"/>
  <c r="U152" i="1"/>
  <c r="B158" i="1"/>
  <c r="U151" i="1"/>
  <c r="B157" i="1"/>
  <c r="U150" i="1"/>
  <c r="B156" i="1"/>
  <c r="U149" i="1"/>
  <c r="B155" i="1"/>
  <c r="B154" i="1"/>
  <c r="B153" i="1"/>
  <c r="B152" i="1"/>
  <c r="U145" i="1"/>
  <c r="B151" i="1"/>
  <c r="U144" i="1"/>
  <c r="B150" i="1"/>
  <c r="U143" i="1"/>
  <c r="B149" i="1"/>
  <c r="U142" i="1"/>
  <c r="B148" i="1"/>
  <c r="U141" i="1"/>
  <c r="B147" i="1"/>
  <c r="U140" i="1"/>
  <c r="B146" i="1"/>
  <c r="U139" i="1"/>
  <c r="B145" i="1"/>
  <c r="U138" i="1"/>
  <c r="B144" i="1"/>
  <c r="U137" i="1"/>
  <c r="B143" i="1"/>
  <c r="U136" i="1"/>
  <c r="B142" i="1"/>
  <c r="U135" i="1"/>
  <c r="B141" i="1"/>
  <c r="U134" i="1"/>
  <c r="B140" i="1"/>
  <c r="U133" i="1"/>
  <c r="B139" i="1"/>
  <c r="U132" i="1"/>
  <c r="B138" i="1"/>
  <c r="U131" i="1"/>
  <c r="B137" i="1"/>
  <c r="U130" i="1"/>
  <c r="B136" i="1"/>
  <c r="U129" i="1"/>
  <c r="B135" i="1"/>
  <c r="U128" i="1"/>
  <c r="B133" i="1"/>
  <c r="U127" i="1"/>
  <c r="B130" i="1"/>
  <c r="U126" i="1"/>
  <c r="B129" i="1"/>
  <c r="U125" i="1"/>
  <c r="B127" i="1"/>
  <c r="U124" i="1"/>
  <c r="B125" i="1"/>
  <c r="U123" i="1"/>
  <c r="B124" i="1"/>
  <c r="U122" i="1"/>
  <c r="B123" i="1"/>
  <c r="U121" i="1"/>
  <c r="B122" i="1"/>
  <c r="U120" i="1"/>
  <c r="B121" i="1"/>
  <c r="B120" i="1"/>
  <c r="B119" i="1"/>
  <c r="B118" i="1"/>
  <c r="B117" i="1"/>
  <c r="B116" i="1"/>
  <c r="U114" i="1"/>
  <c r="B115" i="1"/>
  <c r="B114" i="1"/>
  <c r="B113" i="1"/>
  <c r="B112" i="1"/>
  <c r="U110" i="1"/>
  <c r="B111" i="1"/>
  <c r="U109" i="1"/>
  <c r="B110" i="1"/>
  <c r="U108" i="1"/>
  <c r="B109" i="1"/>
  <c r="B108" i="1"/>
  <c r="U103" i="1"/>
  <c r="B104" i="1"/>
  <c r="U102" i="1"/>
  <c r="B103" i="1"/>
  <c r="U101" i="1"/>
  <c r="B102" i="1"/>
  <c r="U100" i="1"/>
  <c r="B101" i="1"/>
  <c r="U99" i="1"/>
  <c r="B100" i="1"/>
  <c r="U98" i="1"/>
  <c r="B99" i="1"/>
  <c r="U97" i="1"/>
  <c r="B98" i="1"/>
  <c r="U96" i="1"/>
  <c r="B97" i="1"/>
  <c r="U95" i="1"/>
  <c r="B96" i="1"/>
  <c r="U94" i="1"/>
  <c r="B95" i="1"/>
  <c r="U93" i="1"/>
  <c r="B94" i="1"/>
  <c r="U92" i="1"/>
  <c r="B93" i="1"/>
  <c r="U91" i="1"/>
  <c r="B92" i="1"/>
  <c r="U90" i="1"/>
  <c r="B91" i="1"/>
  <c r="U89" i="1"/>
  <c r="B90" i="1"/>
  <c r="U88" i="1"/>
  <c r="B89" i="1"/>
  <c r="U30" i="1"/>
  <c r="B88" i="1"/>
  <c r="U29" i="1"/>
  <c r="B30" i="1"/>
  <c r="U28" i="1"/>
  <c r="B29" i="1"/>
  <c r="U27" i="1"/>
  <c r="B28" i="1"/>
  <c r="U26" i="1"/>
  <c r="B27" i="1"/>
  <c r="U25" i="1"/>
  <c r="B26" i="1"/>
  <c r="U24" i="1"/>
  <c r="B25" i="1"/>
  <c r="U23" i="1"/>
  <c r="B24" i="1"/>
  <c r="U22" i="1"/>
  <c r="B23" i="1"/>
  <c r="U21" i="1"/>
  <c r="B22" i="1"/>
  <c r="U20" i="1"/>
  <c r="B21" i="1"/>
  <c r="U19" i="1"/>
  <c r="B20" i="1"/>
  <c r="U18" i="1"/>
  <c r="B19" i="1"/>
  <c r="U17" i="1"/>
  <c r="B18" i="1"/>
  <c r="U16" i="1"/>
  <c r="B17" i="1"/>
  <c r="U15" i="1"/>
  <c r="B16" i="1"/>
  <c r="U14" i="1"/>
  <c r="B15" i="1"/>
  <c r="U13" i="1"/>
  <c r="B14" i="1"/>
  <c r="U12" i="1"/>
  <c r="B13" i="1"/>
  <c r="U11" i="1"/>
  <c r="B12" i="1"/>
  <c r="U10" i="1"/>
  <c r="B11" i="1"/>
  <c r="U9" i="1"/>
  <c r="B10" i="1"/>
  <c r="U8" i="1"/>
  <c r="B9" i="1"/>
  <c r="U7" i="1"/>
  <c r="B8" i="1"/>
  <c r="U6" i="1"/>
  <c r="B7" i="1"/>
  <c r="U5" i="1"/>
  <c r="B6" i="1"/>
  <c r="U4" i="1"/>
  <c r="B5" i="1"/>
  <c r="U3" i="1"/>
  <c r="B4" i="1"/>
  <c r="U2" i="1"/>
  <c r="B3" i="1"/>
  <c r="G2" i="6"/>
  <c r="C2" i="6"/>
  <c r="B1033" i="1" s="1"/>
  <c r="E15" i="7"/>
</calcChain>
</file>

<file path=xl/sharedStrings.xml><?xml version="1.0" encoding="utf-8"?>
<sst xmlns="http://schemas.openxmlformats.org/spreadsheetml/2006/main" count="5878" uniqueCount="2524">
  <si>
    <t>Bureau Veritas</t>
  </si>
  <si>
    <t>Division</t>
  </si>
  <si>
    <t>Mechanical</t>
  </si>
  <si>
    <t>Rules for the Classification of Inland Navigation Vessels - November 2014 edition (entry into force 1 February 2015)</t>
  </si>
  <si>
    <t>Tank arrangement</t>
  </si>
  <si>
    <t>SYSTEM</t>
  </si>
  <si>
    <t>DESCRIPTION</t>
  </si>
  <si>
    <t>Sys name</t>
  </si>
  <si>
    <t>Bilge system</t>
  </si>
  <si>
    <t>Deckwash / internal fifi system</t>
  </si>
  <si>
    <t>Ventilation system</t>
  </si>
  <si>
    <t>Stairs / ladders / climbing steps</t>
  </si>
  <si>
    <t>Piping common</t>
  </si>
  <si>
    <t>Railings / handrails / grips</t>
  </si>
  <si>
    <t>Power generating system</t>
  </si>
  <si>
    <t>Manholes / manhole covers</t>
  </si>
  <si>
    <t>Platforms / gratings</t>
  </si>
  <si>
    <t>Propulsion engine system</t>
  </si>
  <si>
    <t>Lubrication system</t>
  </si>
  <si>
    <t>Dirty-oil system</t>
  </si>
  <si>
    <t>Exhaust system</t>
  </si>
  <si>
    <t>Wallthicknesses</t>
  </si>
  <si>
    <t>Steel pipes</t>
  </si>
  <si>
    <t>CO2 systems</t>
  </si>
  <si>
    <t>Copper and copper alloy pipes</t>
  </si>
  <si>
    <t>Stainless steel pipes</t>
  </si>
  <si>
    <t>Aluminium and aluminium alloy pipes</t>
  </si>
  <si>
    <t>Lub-oil / dirty-oil / sludge system</t>
  </si>
  <si>
    <t>Bilge / ballast / internal fifi</t>
  </si>
  <si>
    <t>Rel</t>
  </si>
  <si>
    <t>x</t>
  </si>
  <si>
    <t>Ballast system</t>
  </si>
  <si>
    <t>Sanitary gravity discharge system</t>
  </si>
  <si>
    <t>Sounding pipes</t>
  </si>
  <si>
    <t>Scuppers and sanitary discharges</t>
  </si>
  <si>
    <t>Ballast pumping arrangement</t>
  </si>
  <si>
    <t>Design of ballast systems</t>
  </si>
  <si>
    <t xml:space="preserve"> Bilge accessories</t>
  </si>
  <si>
    <t>Size of bilge pipes</t>
  </si>
  <si>
    <t>Draining of dry spaces other than cargo holds and machinery spaces</t>
  </si>
  <si>
    <t>Draining of machinery spaces</t>
  </si>
  <si>
    <t>Draining of cargo spaces</t>
  </si>
  <si>
    <t>Additional arrangements for flammable fluids</t>
  </si>
  <si>
    <t>Valves, accessories and fittings</t>
  </si>
  <si>
    <t>Supporting of the pipes</t>
  </si>
  <si>
    <t>Provision for expansion</t>
  </si>
  <si>
    <t>Prevention of progressive flooding</t>
  </si>
  <si>
    <t>Independence of lines</t>
  </si>
  <si>
    <t>Passage through bulkheads or decks</t>
  </si>
  <si>
    <t>General</t>
  </si>
  <si>
    <t>Bending of pipes</t>
  </si>
  <si>
    <t>Welding of steel piping</t>
  </si>
  <si>
    <t>Independent tanks</t>
  </si>
  <si>
    <t>Protection of piping systems against overpressure</t>
  </si>
  <si>
    <t>Pumps</t>
  </si>
  <si>
    <t>Remote controlled valves</t>
  </si>
  <si>
    <t>Outboard connections</t>
  </si>
  <si>
    <t>Shutoff devices</t>
  </si>
  <si>
    <t>Hose assemblies and compensators</t>
  </si>
  <si>
    <t>Pipe connections</t>
  </si>
  <si>
    <t>Systems</t>
  </si>
  <si>
    <t xml:space="preserve">Application </t>
  </si>
  <si>
    <t>Openings in watertight bulkheads</t>
  </si>
  <si>
    <t>Subject</t>
  </si>
  <si>
    <t>Fire detection and alarm</t>
  </si>
  <si>
    <t>Fire structural integrity</t>
  </si>
  <si>
    <t>Escape</t>
  </si>
  <si>
    <t>Double bottom</t>
  </si>
  <si>
    <t>Access to tanks</t>
  </si>
  <si>
    <t>Access within tanks</t>
  </si>
  <si>
    <t>Documents to be submitted</t>
  </si>
  <si>
    <t>Railing Arrangement</t>
  </si>
  <si>
    <t>Approved fuels</t>
  </si>
  <si>
    <t>Floors</t>
  </si>
  <si>
    <t>Gauges</t>
  </si>
  <si>
    <t>Ventilation in machinery spaces</t>
  </si>
  <si>
    <t>Hot surfaces and fire protection</t>
  </si>
  <si>
    <t>Works tests</t>
  </si>
  <si>
    <t>Ballast</t>
  </si>
  <si>
    <t>Hatches</t>
  </si>
  <si>
    <t>Hatches / doors / windows</t>
  </si>
  <si>
    <t>Stainless steel</t>
  </si>
  <si>
    <t>Main machinery</t>
  </si>
  <si>
    <t>Diesel engines</t>
  </si>
  <si>
    <t>Starting air system</t>
  </si>
  <si>
    <t>Working / control air system</t>
  </si>
  <si>
    <t>Compressed air system</t>
  </si>
  <si>
    <t>Reduction gear system</t>
  </si>
  <si>
    <t>Thrust systems / shafts</t>
  </si>
  <si>
    <t>Cooling water system</t>
  </si>
  <si>
    <t>Silencers</t>
  </si>
  <si>
    <t>Waste Heat Recovery System</t>
  </si>
  <si>
    <t>Lubrication systems</t>
  </si>
  <si>
    <t>Engine room arrangement</t>
  </si>
  <si>
    <t>EDG lubrication system</t>
  </si>
  <si>
    <t>Thruster lubrication system</t>
  </si>
  <si>
    <t>Day service tanks</t>
  </si>
  <si>
    <t>Ship's gyro compass</t>
  </si>
  <si>
    <t>Ship’s whistle</t>
  </si>
  <si>
    <t>Auxiliary systems</t>
  </si>
  <si>
    <t>Instruments (boards)</t>
  </si>
  <si>
    <t>Tank Level Indicators</t>
  </si>
  <si>
    <t>35x</t>
  </si>
  <si>
    <t>Piping</t>
  </si>
  <si>
    <t>Heating system</t>
  </si>
  <si>
    <t>Fire main</t>
  </si>
  <si>
    <t>Main water service system</t>
  </si>
  <si>
    <t>Sea water cooling system</t>
  </si>
  <si>
    <t>Fresh / sea / waste water system</t>
  </si>
  <si>
    <t>Fresh water supply system</t>
  </si>
  <si>
    <t>Sea water supply system</t>
  </si>
  <si>
    <t>Washdown facilities</t>
  </si>
  <si>
    <t>Internal deck scuppers / drain pipes</t>
  </si>
  <si>
    <t>Oily Water Separator</t>
  </si>
  <si>
    <t>Toilets</t>
  </si>
  <si>
    <t>Cold  Potable  Water System</t>
  </si>
  <si>
    <t>Hot  Potable  Water System</t>
  </si>
  <si>
    <t>Fuel system</t>
  </si>
  <si>
    <t>Fuel transfer system</t>
  </si>
  <si>
    <t>Domestic tank heating system</t>
  </si>
  <si>
    <t>Heavy oil system</t>
  </si>
  <si>
    <t>Overpressure system</t>
  </si>
  <si>
    <t>AC cooling water system</t>
  </si>
  <si>
    <t>Fresh water cooling system</t>
  </si>
  <si>
    <t>Fuel pumps</t>
  </si>
  <si>
    <t>Fuel System Piping</t>
  </si>
  <si>
    <t>Fuel Tanks</t>
  </si>
  <si>
    <t>Fuel Filtration</t>
  </si>
  <si>
    <t>Fire extinguishing systems</t>
  </si>
  <si>
    <t>Fixed internal fifi system</t>
  </si>
  <si>
    <t>Other Fixed Fire Extinguishing System</t>
  </si>
  <si>
    <t>Hydraulic system</t>
  </si>
  <si>
    <t>HPU Control and Monitoring</t>
  </si>
  <si>
    <t>Waste/Discharge  Management Plan</t>
  </si>
  <si>
    <t>Sewage Systems</t>
  </si>
  <si>
    <t>Waste water system</t>
  </si>
  <si>
    <t>Sanitary vacuum discharge system</t>
  </si>
  <si>
    <t>Liferails and Lifelines</t>
  </si>
  <si>
    <t>Handrails</t>
  </si>
  <si>
    <t>Floorplates</t>
  </si>
  <si>
    <t>Gratings</t>
  </si>
  <si>
    <t>Ladders</t>
  </si>
  <si>
    <t>Hatches and scuttles</t>
  </si>
  <si>
    <t>Cathodic protection</t>
  </si>
  <si>
    <t>HVAC system</t>
  </si>
  <si>
    <t>Insulation</t>
  </si>
  <si>
    <t>Anti-sweat protection</t>
  </si>
  <si>
    <t>Habitability requirements</t>
  </si>
  <si>
    <t>000</t>
  </si>
  <si>
    <t>450</t>
  </si>
  <si>
    <t>Lighting</t>
  </si>
  <si>
    <t>Crew's sanitary facilities</t>
  </si>
  <si>
    <t>Passenger washrooms</t>
  </si>
  <si>
    <t>Drinking  water fountains</t>
  </si>
  <si>
    <t>Crew changing room</t>
  </si>
  <si>
    <t>343</t>
  </si>
  <si>
    <t>Crew room</t>
  </si>
  <si>
    <t>100</t>
  </si>
  <si>
    <t>First aid room</t>
  </si>
  <si>
    <t>Laundry</t>
  </si>
  <si>
    <t>Pilot house</t>
  </si>
  <si>
    <t>Air-conditioning system</t>
  </si>
  <si>
    <t>Tracing system</t>
  </si>
  <si>
    <t>372</t>
  </si>
  <si>
    <t>Engine control room</t>
  </si>
  <si>
    <t>Communications control room</t>
  </si>
  <si>
    <t>420</t>
  </si>
  <si>
    <t>410</t>
  </si>
  <si>
    <t>430</t>
  </si>
  <si>
    <t>440</t>
  </si>
  <si>
    <t>Cables</t>
  </si>
  <si>
    <t>Switchboards &amp; components</t>
  </si>
  <si>
    <t>Alarm / monitoring / control system</t>
  </si>
  <si>
    <t>313</t>
  </si>
  <si>
    <t>Cleaning gear storeroom</t>
  </si>
  <si>
    <t>Machinery store room</t>
  </si>
  <si>
    <t>373</t>
  </si>
  <si>
    <t>374</t>
  </si>
  <si>
    <t>360</t>
  </si>
  <si>
    <t>361</t>
  </si>
  <si>
    <t>362</t>
  </si>
  <si>
    <t>363</t>
  </si>
  <si>
    <t>Sludge system</t>
  </si>
  <si>
    <t>Pollution equipment room</t>
  </si>
  <si>
    <t>Project data</t>
  </si>
  <si>
    <t>Operational profile</t>
  </si>
  <si>
    <t>Pipe and pipe fitting colour and labelling scheme</t>
  </si>
  <si>
    <t>300</t>
  </si>
  <si>
    <t>Readings an d alarm points</t>
  </si>
  <si>
    <t>3xx</t>
  </si>
  <si>
    <t xml:space="preserve">Thrusters Hydraulic pump pressure Visible Scale high/low
Thrusters Clutch hydraulic oil pressure Visible Scale high /low
Thrusters Steering Motor pressure Visible Scale high/low
Thrusters Oil level Visible Scale high/low
Thrusters Oil temp Visible Scale high
Thrusters Static oil (propeller seal)
pressure Visible Scale high/low
Thrusters Static oil tank (propeller seal)
level Visible Scale high/low
Thrusters Filter differential pressure Condition State filter change
Thrusters Steering condition primary
secondary Condition State N/A
Thrusters Thruster breaker trip Condition State N/A
Thrusters Steering orientation alarm Condition State N/A
Thrusters propeller RPM Numerical N/A
Thrusters Steering head alarms Condition State N/A
Thrusters Prop indicator Visible Scale N/A
Thrusters Clutch engaged disengaged Condition State N/A
Thrusters Hour meter Numerical N/A
Thrusters Control voltage Numerical N/A
*Any factory thruster alarms should be located in Engine Room as well as Wheel house
pumps General Service pumps
pressure Visible Scale high/low
pumps Fire pumps pressure Visible Scale high/low
pumps General Service pumps on /off Condition State N/A
pumps Fire pump running Condition State N/A
pumps Emergency fire pump running Condition State N/A
pumps Sanitary pump on/off Condition State N/A
pumps Fresh/potable water on/off Condition State N/A
pumps OWS on/off Condition State N/A
</t>
  </si>
  <si>
    <t>Technical Specification for the Design, Construction and Delivery of a 40 Vehicle Roll-on / Roll-off Passenger (Ro-Pax) Ferry</t>
  </si>
  <si>
    <t>Ministry of Transportation of Ontario</t>
  </si>
  <si>
    <t>Bureau Veritas eRules</t>
  </si>
  <si>
    <t>Project information:</t>
  </si>
  <si>
    <t>Project number</t>
  </si>
  <si>
    <t>Client number</t>
  </si>
  <si>
    <t>Client name</t>
  </si>
  <si>
    <t>Revision id</t>
  </si>
  <si>
    <t>Revision date</t>
  </si>
  <si>
    <t>2016-4006</t>
  </si>
  <si>
    <t>Document information:</t>
  </si>
  <si>
    <t>102</t>
  </si>
  <si>
    <t xml:space="preserve">321 
351 </t>
  </si>
  <si>
    <t xml:space="preserve">330 
331 </t>
  </si>
  <si>
    <t xml:space="preserve">361 
362 </t>
  </si>
  <si>
    <t xml:space="preserve">102 
331 </t>
  </si>
  <si>
    <t xml:space="preserve">311 
362 </t>
  </si>
  <si>
    <t xml:space="preserve">345 
362 
363 
380 </t>
  </si>
  <si>
    <t xml:space="preserve">341 
343 </t>
  </si>
  <si>
    <t xml:space="preserve">370 
372 </t>
  </si>
  <si>
    <t xml:space="preserve">341 
373 </t>
  </si>
  <si>
    <t xml:space="preserve">352 
100 </t>
  </si>
  <si>
    <t>Revision author</t>
  </si>
  <si>
    <t>FvdM</t>
  </si>
  <si>
    <t>Class notation</t>
  </si>
  <si>
    <t>Classification</t>
  </si>
  <si>
    <t>Yard number</t>
  </si>
  <si>
    <t>Type of vessel</t>
  </si>
  <si>
    <t>Ro-Pax Ferry</t>
  </si>
  <si>
    <t>DRFe6819</t>
  </si>
  <si>
    <t>Ministry of Transportation of Ontario, Canada</t>
  </si>
  <si>
    <t>Flag state</t>
  </si>
  <si>
    <t>Canada</t>
  </si>
  <si>
    <t>311</t>
  </si>
  <si>
    <t>Drains from adjacent compartments</t>
  </si>
  <si>
    <t>Bureau Veritas - Inland Navigation Vessels</t>
  </si>
  <si>
    <t xml:space="preserve">B-2-1-1.6.2  Bulkheads other than collision bulkheads
Certain openings below the bulkhead deck are permitted in bulkheads other than the collision bulkhead, but these are to be kept to a minimum compatible with the design and proper working of the vessel and to be provided with watertight doors having strength such as to withstand the head of water to which they may be subjected.
</t>
  </si>
  <si>
    <t xml:space="preserve">B-2-1-1.6.1  Collision bulkheads
Openings may not be cut in the collision bulkhead below the bulkhead deck.
The number of openings in the collision bulkhead above the bulkhead deck is to be kept to the minimum compatible with the design and proper working of the vessel.
All such openings are to be fitted with means of closing to weathertight standards.
No doors or manholes are permitted in the collision bulkhead below the bulkhead deck.
No bilge cock or similar device is to be fitted on the collision bulkhead.
A maximum of two pipes may pass through the collision bulkhead below the bulkhead deck, unless otherwise justified. Such pipes are to be fitted with suitable valves operable from above the bulkhead deck. The valve chest is to be secured at the bulkhead inside the fore peak. Such valves may be fitted on the after side of the collision bulkhead provided that they are easily accessible and the space in which they are fitted is not a cargo space.
</t>
  </si>
  <si>
    <t>Government of Canada - Marine Machinery Regulations (SOR/90-264)</t>
  </si>
  <si>
    <t>201</t>
  </si>
  <si>
    <t xml:space="preserve">D-1-6-2.2.1 The number of openings in watertight bulkheads shall be as small as is compatible with the construction and proper operation of the vessel.
D-1-6-2.2.2 Open piping systems and ventilation ducts are to be routed in such a way that no further flooding can take place in any considered damaged condition.
Pipelines running within the safe area (see [1.3.9] for definition) and more than 0,5 m above the base line are to be regarded as undamaged.
Bulkhead openings below the margin line are to be made watertight.
</t>
  </si>
  <si>
    <t>202</t>
  </si>
  <si>
    <t xml:space="preserve">529.2 - A bilge system shall be provided to de-water all compartments that cannot be drained overboard by gravity. The bilge system shall discharge selectively to the oily water holding tank and overboard.
Bilge suction valves are to be located in easily accessible locations, or are to have extended spindles fitted where required.
</t>
  </si>
  <si>
    <t xml:space="preserve">529.3 - An Alfa Laval PureBilge 2505 or equivalent oily water separator shall be installed The oily water settling tank shall have a minimum capacity of 5 cubic metres. 
</t>
  </si>
  <si>
    <t xml:space="preserve">529.3 - The oily water settling tank shall utilize heating elements for pre-separation.
</t>
  </si>
  <si>
    <t xml:space="preserve">529 - The ship shall be fitted with the necessary bilge, and oily waste handling and transfer systems to meet the operations of the vessel.
The bilge, and oily waste handling and transfer systems shall be designed and provided in accordance with Class and regulatory body requirements.
</t>
  </si>
  <si>
    <t xml:space="preserve">500 - All filling and discharge connections shall be located in a common area, at each end of the vessel.
</t>
  </si>
  <si>
    <t>Drains from watertight compartments above the forepeak tank</t>
  </si>
  <si>
    <t>Drains from watertight compartments above the afterpeak tank</t>
  </si>
  <si>
    <t>Forepeak and Afterpeak Pumping</t>
  </si>
  <si>
    <t>Watertight Division Components</t>
  </si>
  <si>
    <t>351</t>
  </si>
  <si>
    <t>Tank Venting Pipes</t>
  </si>
  <si>
    <t>Ministry of Transportation of Ontario - Technical Specification 2016-4006</t>
  </si>
  <si>
    <t>Obv</t>
  </si>
  <si>
    <t>Sounding Arrangements</t>
  </si>
  <si>
    <t>Location of tanks and piping system components</t>
  </si>
  <si>
    <t>5.6.1  General
Piping systems are to be so designed and pipes so fixed as to allow for relative movement between pipes and the vessel's structure, having due regard to the:
 - temperature of the fluid conveyed
 - coefficient of thermal expansion of the pipes material
 - deformation of the vessel's hull.
5.6.2  Fitting of expansion devices
All pipes subject to thermal expansion and those which, due to their length, may be affected by deformation of the hull, are to be fitted with expansion pieces or loops.</t>
  </si>
  <si>
    <t>D-1-6-9.3.6 The shut-off devices which shall be able to be closed watertight shall be marked accordingly.</t>
  </si>
  <si>
    <t>Valve marking</t>
  </si>
  <si>
    <t xml:space="preserve">D-1-6-3.6.4 - Where class A and B divisions are penetrated for the passage of cables, pipes, trunks, ducts etc. or for the fitting of ventilation terminals, lighting fixtures and similar devices, arrangements shall be made to ensure that the fire resistance is not impaired.
</t>
  </si>
  <si>
    <t>C-1-1-4.1.1 Equipment and its components are subjected to works tests which are detailed in the relevant Sections of this Chapter.
Where such tests cannot be performed in the workshop, the Society may allow them to be carried out on board, provided this is not judged to be in contrast either with the general characteristics of the machinery being tested or with particular features of the on board installation. In such cases, the Surveyor is to be informed in advance and the tests are to be carried out in accordance with the requirements of NR216 Materials and Welding relative to incomplete tests.
All boilers, all parts of machinery, all steam, hydraulic, pneumatic and other systems and their associated fittings which are under internal pressure shall be subjected to appropriate tests including a pressure test before being put into service for the first time as detailed in the other Sections of this Chapter.</t>
  </si>
  <si>
    <t xml:space="preserve">080 - BERPs shall be provided above each propulsion unit (thruster), and prime mover.
BERPs above diesel generators, except the Emergency Diesel Generator (if fitted), shall be sized to remove the diesel generator as a single unit.  If this is not possible, in discussion with the Owner, then the Engine Room removal routes shall be designed to allow each diesel generator to be removed and replaced within four (4) hours.
Removal of the BERPs shall not require the removal of other fixed ship structure. Ancillary systems shall be kept clear of BERP openings.
All engine fittings to be accessible for servicing without removing the engine.
All propulsors shall be removable through the vehicle deck, without docking the ship.
</t>
  </si>
  <si>
    <t>Bolted equipment removal plates</t>
  </si>
  <si>
    <t xml:space="preserve">624.2 - Watertight hatches and scuttles in walking and working areas shall be flush. Scuttles shall be quick-acting. Hatches for personnel access shall be quick-acting. Each hatch shall be provided with a wrench or other tool for unlatching the closure. The wrench shall be stowed adjacent to the hatch.
Hatches and scuttles shall be provided with a means of securing the closure in the fully open position. The securing device shall be located and designed to be accessible and operable in a seaway. Hand-grabs shall be provided on hatches and scuttles to assist personnel in opening and closing the closure. Hand-grabs provided on flush hatches and scuttles shall be hinged, and provided with a recess within the closure for stowage. Hatches shall be provided with removable stanchions and lifelines.
Emergency escape scuttles shall be marked on the interior to indicate exit route. Steel ladders shall be provided for access to the escape hatches.
All accesses that can be accessed and opened from the weatherdeck shall be capable of being padlocked shut during the winter layup.
</t>
  </si>
  <si>
    <t xml:space="preserve">624.3 - Manholes shall be provided for access to tanks and void spaces.
The manholes shall all be fitted adjacent to bulkheads, and welded vertical steel ladders shall be fitted at these bulkheads in line with the manholes above, to provide access to the bottoms of the tanks and void spaces.
Flush, oval, bolted plate manhole covers shall be fitted. Oil-tight and watertight manhole covers shall be fitted with appropriate gaskets and recessed hand holes for ease of removal and reinstallation. Manhole covers shall be labeled with the tank number.
</t>
  </si>
  <si>
    <t xml:space="preserve">B-2-1-3.2.2 The dimensions of any access hatchway are to be sufficient to allow a person wearing a self-contained breathing apparatus to ascend or descend the ladder without obstruction and also to provide a clear opening to facilitate the hoisting of an injured person from the bottom of the tank. In no case is the clear opening to be less than 0,36 m2 and its length 0,50 m.
</t>
  </si>
  <si>
    <t xml:space="preserve">D-1-6-3.6.4 All stairways are to be of steel frame or other equivalent non-combustible construction.
</t>
  </si>
  <si>
    <t xml:space="preserve">D-1-6-3.8.3 - Stairs and their landings in the passenger areas shall comply with the following requirements:
a. They shall be designed and constructed in accordance with applicable statutory Regulations and/or recognized standards, e.g., EN 13056.
</t>
  </si>
  <si>
    <t xml:space="preserve">623.1 - Climber safety rails located in the weather shall be provided in accordance with Class. Inclined ladders shall be removable, and provided with slip resistant cap treads.
Vertical ladders and ladder rungs shall be constructed of steel and in accordance with regulations. Vertical ladders shall be removable where needed. Where conditions do not permit installation of a vertical ladder, ladder rungs shall be welded to the structure. Swash bulkheads shall be provided with foot holes in lieu of rungs.
Interior stairways are to be provided for passengers from the vehicle deck to the passenger lounge(s) if applicable. Interior stairways are to be within a steel stair tower in accordance with regulations.
A removable marine grade swimmer’s ladder and mounting arrangement shall be provided at each end of the vessel adjacent to the MOB recovery point. The ladder shall be of sufficient length to extend two (2) metres into the water at the lightest operational draft, and be rated up to 350 kg. A stowage rack shall be provided near each MOB recovery point to store the ladder when not in use. The stowage shall be designed to prevent the ladder being accidentally removed from the stowage through vessel motions and weather.
</t>
  </si>
  <si>
    <t xml:space="preserve">D-1-6-3.8.6  - Bulwark and railing
Parts of the deck intended for passengers, and which are not enclosed, shall comply with the following requirements:
a. They shall be surrounded by a fixed bulwark or guard rail in compliance with Pt B, Ch 7, Sec 2.
b. Openings and equipment for embarking or disembarking and also openings for loading or unloading shall be such that they can be secured.
</t>
  </si>
  <si>
    <t>Railing</t>
  </si>
  <si>
    <t xml:space="preserve">B-7-2-2.1.1 - The outer edges of decks as well as work stations where persons might fall more than 1 m, shall be fitted with bulwarks or coamings that are at least 700 mm high or with a guard rail in accordance with European standard EN 711:1995, which shall comprise a handrail, a rail at knee height and a footrail.
</t>
  </si>
  <si>
    <t>B-7-2-2.1.2 - The foot-guard is to rise at least 50 mm above the weather deck.
B-7-2-2.2.1 - For passenger vessels, the bulwarks or guard rails are to be at least 1000 mm high above the decks open to passengers. In way of the aft deckhouse, a similar height is to be arranged.
The foot-guard is to rise at least 50 mm above the weather deck.
The opening below the lower course is not to be greater than 230 mm. The other courses are not to be more than 380 mm apart.
Other standards may be accepted, in particular, bulwarks or guard rails in accordance with EN 711, Form PF, PG or PZ may be provided.</t>
  </si>
  <si>
    <t>Railing standard</t>
  </si>
  <si>
    <t xml:space="preserve">612.1 - All other deck edges shall be provided with life rails or lifelines to the satisfaction of Class. Life rails shall be provided except where lifelines are required. Removable lifelines and removable lifeline stanchions shall be provided where a clear deck edge is required for over-the-side handling or other operations.
</t>
  </si>
  <si>
    <t xml:space="preserve">612.2 - All interior passageways shall be provided with handrails (i.e. storm rails). Railings shall be provided on all stairways and ladders. All deck openings and other areas where falling and personal injury is a danger shall be fitted with guard rails. Pipe handrails shall be secured to stanchions or bulkheads on each side of inclined ladders. Grab rails shall be provided along the bulkheads at the top and bottom of stairways and inclined ladders.
Handrails on ladders shall be readily removable in way of hatches.
A transverse handrail shall be provided in the overhead of the Pilot House that spans the perimeter of the Pilot House.
Handrails shall be provided in the passenger areas and passageways, where possible, to assist passengers when moving around the vessel in adverse conditions. The number and locations for these handrails are to be determined on-site by the Builder, Owner’s representative, and Class surveyor to the extent that personnel and passenger safety is not in any way compromised, and with due consideration given to improving comfort and reducing fatigue in adverse conditions.
The exterior walkway around the Pilot House(s), shall be fit with handrails that do not disrupt the line of sight.
</t>
  </si>
  <si>
    <t>C-1-1-3.2.1 Floor plating and gratings in machinery spaces are to be metallic, divided into easily removable panels.
The floor plating of normal passageways in machinery spaces shall be made of steel.</t>
  </si>
  <si>
    <t xml:space="preserve">622.1 - Machinery space floorplates made of aluminum shall be provided for personnel access. The extent of the floor plates shall be determined in conjunction with the Owner.
Hinged plates shall be made of aluminum and provided for access to valves, strainers, manifolds and spaces below the floorplates and shall be provided with means to secure in the fully open position. Coaming bars shall be fitted along the edges and at permanent openings. Each floorplate panel shall weigh less than 25 kg.
</t>
  </si>
  <si>
    <t xml:space="preserve">622.2 - Machinery space walkways and platforms shall be provided with removable gratings as necessary for ventilation and visibility purposes.
Unless required by regulations, gratings shall be used wherever possible to allow the bilge to be inspected without removing deck plates.
Each grating panel shall weigh less than 25 kg. Owner preference is for marine Class approved composite gratings, such as Fibergrate or equivalent, to be used where possible.
</t>
  </si>
  <si>
    <t xml:space="preserve">633 - Although operating in a fresh water environment, a sacrificial anode cathodic protection system shall be provided to protect the underwater hull, appendages, sea-chests, and other external water exposed components. Selection and location of anodes shall be in accordance with the  manufacturer's recommendations for a minimum service life of five years between dry dockings. Anodes shall be located where practicable so that they are protected from damage from ice.
</t>
  </si>
  <si>
    <t>163</t>
  </si>
  <si>
    <t>200</t>
  </si>
  <si>
    <t xml:space="preserve">202.1 - The UMS notation (Unmanned Machinery Space or equivalent) as described in the Contract shall be provided.
</t>
  </si>
  <si>
    <t>UMS Notation</t>
  </si>
  <si>
    <t xml:space="preserve">C-1-2-1.1.1 Diesel engines listed below are to be designed, constructed, installed, tested and certified in accordance with the requirements of this Section, under the supervision and to the satisfaction of the Society's Surveyors:
a.  main propulsion engines
b.  engines driving electric generators, including emergency generators
c.  engines driving other auxiliaries essential for safety and navigation and cargo pumps in tankers, when they develop a power of 110 kW and over.
All other engines are to be designed and constructed according to sound marine practice, with the equipment required in [2.3.2], and delivered with the relevant works' certificate (see 216 Materials and Welding, Ch 1, Sec 1, [4.2.3]).
In addition to the requirements of this Section, those given in Ch 1, Sec 1 apply.
</t>
  </si>
  <si>
    <t xml:space="preserve">C-1-1-3.7.1 - Surfaces, having temperature exceeding 60°C, with which the crew are likely to come into contact during operation are to be suitably protected or insulated.
Surfaces of machinery with temperatures above 220°C, e.g. steam, thermal oil and exhaust gas lines, silencers, exhaust gas boilers and turbochargers, are to be effectively insulated with non-combustible material (see Ch 3, Sec 1, [2.13] for definition) or equivalently protected to prevent the ignition of combustible materials coming into contact with them. Where the insulation used for this purpose is oil absorbent or may permit the penetration of oil, the insulation is to be encased in steel sheathing or equivalent material.
Fire protection, detection and extinction is to comply with the requirements of Part C, Chapter 3.
</t>
  </si>
  <si>
    <t xml:space="preserve">245.3 - If fitted, the Owner’s preference is for Thruster lubrication and sealing systems is to be contained within the thruster compartments.
</t>
  </si>
  <si>
    <t xml:space="preserve">262.1 - The propulsion lubrication system shall be designed and installed in accordance with Class and regulatory body requirements.
</t>
  </si>
  <si>
    <t xml:space="preserve">262.3 - Steerable propulsion thrusters shall be provided with water contamination monitoring of lubricating oil.
</t>
  </si>
  <si>
    <t xml:space="preserve">C-1-10-2.1.1 Piping systems are to be constructed and manufactured on the basis of standards generally used in vessel building.
C-1-10-2.1.2 Welded connections instead of detachable connections should be used for pipelines carrying toxic media and inflammable liquefied gases.
C-1-10-2.1.3 Expansion in piping systems due to heating and shifting of their suspensions caused by deformation of the vessel are to be compensated by bends, compensators and flexible pipe connections. The arrangement of suitable fixed points is to be taken into consideration
</t>
  </si>
  <si>
    <t xml:space="preserve">C-1-10-2.10.1 Displacement pumps must be equipped with sufficiently dimensioned relief valves without shutoff to prevent any excessive overpressure in the pump housing.
C-1-10-2.10.2 Rotary pumps must be capable of being operated without damage even when the delivery line is closed.
C-1-10-2.10.3 Pumps mounted in parallel are to be protected against overloading by means of non-return valves fitted at the outlet side.
C-1-10-2.10.4 Pumps for essential services are subject to adequate pressure and running tests.
</t>
  </si>
  <si>
    <t xml:space="preserve">C-1-10-2.11.1 The following piping systems are to be fitted with safety valves to avoid unallowable overpressures:
 - piping systems and valves in which liquids can be enclosed and heated
 - piping systems which may be exposed in service to pressures in excess of the design pressure.
Safety valves must be capable of discharging the medium at a maximum pressure increase of 10%. Safety valves are to be fitted on the low pressure side of reducing valves.
</t>
  </si>
  <si>
    <t xml:space="preserve">C-1-10-2.11.2 Air escaping from the pressure-relief valves of the pressurised air tanks installed in the engine rooms shall be led from the pressure-relief valves to the open air.
</t>
  </si>
  <si>
    <t>300
325
33x
341
36x
373</t>
  </si>
  <si>
    <t>62x</t>
  </si>
  <si>
    <t xml:space="preserve">C-1-10-2.12.1  General
These requirements for scantling apply to steel tanks not forming part of the vessel's structure. Scantling of tanks not made of steel will be given special consideration.
The meaning of the symbols used in this sub-article is as follows:
s : Stiffener spacing, in m
pST : Testing pressure defined in Pt B, Ch 3, Sec 4, [5], to be determined in way of the calculation point (see Pt B, Ch 2, Sec 4, [5.1])
λb : for horizontal stiffeners: λb = 1,0
for other stiffeners: λb = 1,2
λS : for horizontal stiffeners: λb = 1,0
for other stiffeners: λb = 1,4
C-1-10-2.12.2  Net thickness of plating
The net thickness, in mm, of plating of tanks not forming part of the vessel's structure is not to be less than t1 nor than t2 derived from the following:
t1 = 2,5
C-1-10-2.12.3  Scantlings of ordinary stiffeners
For tanks not forming part of the vessel's structure, the net section modulus w, in cm3, and the net shear sectional area ASh, in cm2, of ordinary stiffeners are not to be less than:
w = 0,55 λbpST s ℓ2
ASh = 0,045 λSpST s ℓ
</t>
  </si>
  <si>
    <t xml:space="preserve">C-1-10-2.3.1 The pipe thicknesses given in  Tab 6 to  Tab 10 (see sheet " Tables") are the assigned minimum thicknesses, where:
da : Outside diameter of pipe, in mm
t : Wall thickness, in mm.
</t>
  </si>
  <si>
    <t xml:space="preserve">C-1-10-2.5 - Steel flanges may be used under considering the allowed pressures and temperatures as stated in the corresponding standards.
Flanges made of non-ferrous metals may be used in accordance with the relevant standards and within the limits laid down in the approvals. Flanges and brazed or welded collars of copper and copper alloys are subject to the following requirements:
- welding neck flanges according to standard up to 200°C or 300°C for all pipe classes
- loose flanges with welding collar; as for item a)
- plain brazed flanges: only for pipe class III up to a nominal pressure of 16 bar and a temperature of 120°C.
Approved pipe couplings are permitted in the following piping systems outside engine rooms:
- bilge and ballast systems
- fuel and oil systems
- fire extinguishing and deck washing systems
- cargo oil pipes
- air, filling and sounding pipes
- sanitary drain pipes
- drinking water pipes.
These couplings may only be used inside machinery spaces if they have been approved by the Society as flame-resistant.
The use of pipe couplings is not permitted in:
 - fuel and seawater lines inside cargo spaces
 - bilge lines inside fuel tanks and ballast tanks.
</t>
  </si>
  <si>
    <t>C-1-10-2.6.1 - Hose assemblies and compensators made of non-metallic and metallic materials may be used according to their suitability in fuel-, lubricating oil-, hydraulic oil-, bilge-, ballast-, fresh water cooling-, river water cooling-, compressed air-, auxiliary steam, exhaust gas and thermal oil systems.</t>
  </si>
  <si>
    <t xml:space="preserve">C-1-10-2.7.1 Shutoff devices must comply with a recognized standard. Valves with screwed-on covers are to be secured to prevent unintentional loosening of the cover.
C-1-10-2.7.2 Hand-operated shutoff devices are to be closed by turning in the clockwise direction.
C-1-10-2.7.3 Indicators are to be provided showing the open/closed position of valves unless their position is shown by other means.
C-1-10-2.7.4 Change-over devices in piping systems in which a possible intermediate position of the device could be dangerous in service must not be used.
</t>
  </si>
  <si>
    <t xml:space="preserve">C-1-10-2.9.5  Power units
Power units are to be equipped with at least two independent sets for supplying power for remote controlled valves.
The energy required for the closing of valves which are not closed by spring power is to be supplied by a pressure accumulator.
Pneumatically operated valves can be supplied with air from the general compressed air system.
Where the quick-closing valves of fuel tanks are closed pneumatically, a separate pressure accumulator is to be provided. This is to be of adequate capacity and is to be located outside the engine room. Filling of this accumulator by a direct connection to the general compressed air system is allowed. A non-return valve is to be arranged in the filling connection of the pressure accumulator.
The accumulator is to be provided either with a pressure control device with a visual and acoustic alarm or with a hand-compressor as a second filling appliance.
The hand-compressor is to be located outside the engine room.
C-1-10-2.9.6 After installation on board, the entire system is to be subjected to an operational test.
</t>
  </si>
  <si>
    <t xml:space="preserve">C-1-10-2.9.1  Scope
These Rules apply to hydraulically, pneumatically or electrically operated valves in piping systems and sanitary discharge pipes.
C-1-10-2.9.2  Construction
Remote controlled bilge valves and valves important to the safety of the vessel are to be equipped with an emergency operating arrangement.
</t>
  </si>
  <si>
    <t>C-1-10-2.9.3  Arrangement of valves
The accessibility of the valves for maintenance and repairing is to be taken into consideration.Valves in bilge lines and sanitary pipes must always be accessible.
Bilge lines valves and control lines are to be located as far as possible from the bottom and sides of the vessel.
The requirements stated hereabove also apply here to the location of valves and control lines.
Where remote controlled valves are arranged inside the ballast tanks, the valves should always be located in the tank adjoining that to which they relate.
Remote-controlled valves mounted on high and wing fuel tanks must be capable of being closed from outside the compartment in which they are installed.
Where remote controlled valves are arranged inside cargo tanks, valves should always be fitted in the tank adjoining that to which they relate. A direct arrangement of the remote controlled valves in the tanks concerned is allowed only if each tank is fitted with two suction lines each of which is provided with a remote controlled valve.</t>
  </si>
  <si>
    <t>C-1-10-2.9.4  Control stands
The control devices of remote controlled valves are to be arranged together in one control stand.
The control devices are to be clearly and permanently identified and marked.
It must be recognized at the control stand whether the valves are open or closed.
In the case of bilge valves and valves for changeable tanks, the closed position is to be indicated by limit-position indicators approved by the Society as well as by visual indicators at the control stand.
On passenger vessels, the control stand for remote controlled bilge valves is to be located outside the machinery spaces and above the bulkhead deck.</t>
  </si>
  <si>
    <t>C-1-10-4 - See specific article.</t>
  </si>
  <si>
    <t xml:space="preserve">C-1-10-3.1.1 - Welding of steel pipes is to comply with applicable requirements of NR467, Pt C, Ch 10.
</t>
  </si>
  <si>
    <t xml:space="preserve">C-1-10-5.1.1 Unless otherwise specified, piping and pumping systems covered by the Rules are to be permanently fixed on board vessel.
C-1-10-5.1.2 Piping systems must be adequately identified according to their purpose. Valves are to be permanently and clearly marked.
C-1-10-5.1.3 Piping systems are to be so arranged that they can be completely emptied, drained and vented. Piping systems in which the accumulation of liquids during operation could cause damage must be equipped with special drain arrangements.
</t>
  </si>
  <si>
    <t>C-1-10-5.2.1  Flammable oil systems
Location of tanks and piping system components conveying flammable fluids under pressure is to comply with [5.9].
C-1-10-5.2.2  Piping systems with open ends
Attention is to be paid to the requirements for the location of open-ended pipes on board vessels having to comply with the provisions of [5.5].
C-1-10-5.2.3  Pipe lines located inside tanks
The passage of pipes through tanks, when permitted, normally requires special arrangements such as reinforced thickness or tunnels, in particular for:
bilge pipes
ballast pipes
scuppers and sanitary discharges
air, sounding and overflow pipes
fuel oil pipes.
Junctions of pipes inside tanks are to be made by welding or flange connections.
C-1-10-5.2.4  Piping and electrical apparatus
As far as possible, pipes are not to pass near switchboards or other electrical apparatus. If this requirement is impossible to satisfy, gutterways or masks are to be provided wherever deemed necessary to prevent projections of liquid or steam on live parts.</t>
  </si>
  <si>
    <t xml:space="preserve">C-1-10-5.3.1  General
For vessels other than dry cargo vessels, see also the additional requirements for the relevant service notations.
</t>
  </si>
  <si>
    <t xml:space="preserve">C-1-10-5.3.2  Penetration of watertight bulkheads or decks and fire divisions
Where penetrations of watertight bulkheads or decks and fire divisions are necessary for piping and ventilation, arrangements are to be made to maintain the watertight integrity and fire integrity.
Lead or other heat sensitive materials are not to be used in piping systems which penetrate watertight subdivision bulkheads or decks, where deterioration of such systems in the event of fire would impair the watertight integrity of the bulkhead or decks.
Where bolted connections are used when passing through watertight bulkheads or decks, the bolts are not to be screwed through the plating. Where welded connections are used, they are to be welded on both sides of the bulkhead or deck.
</t>
  </si>
  <si>
    <t xml:space="preserve">C-1-10-5.3.3  Passage through the collision bulkhead
A maximum of two pipes may pass through the collision bulkhead below the main deck, unless otherwise justified. Such pipes are to be fitted with suitable valves operable from above the main deck. The valve chest is to be secured at the bulkhead inside the fore peak. Such valves may be fitted on the after side of the collision bulkhead provided that they are easily accessible and the space in which they are fitted is not a cargo space.
An indicator is to show whether these valves are open or shut.
</t>
  </si>
  <si>
    <t>C-1-10-5.4.1 As a general rule, bilge and ballast lines are to be entirely independent and distinct from lines conveying liquid cargo, lubricating oil and fuel oil, with the exception of:
 - pipes located between collecting boxes and pump suctions
 - pipes located between pumps and overboard discharges
 - pipes supplying compartments likely to be used alternatively for ballast, fuel oil  or liquid or dry cargoes, provided such pipes are fitted with blind flanges or other appropriate change-over devices, in order to avoid any mishandling.</t>
  </si>
  <si>
    <t>31x</t>
  </si>
  <si>
    <t>C-1-10-5.5.1 In order to comply with the subdivision and damage stability requirements, provision is to be made to prevent any progressive flooding of a dry compartment served by any open-ended pipe, in the event that such pipe is damaged or broken in any other compartment by collision or grounding.
C-1-10-5.5.2 For this purpose, if pipes are situated within assumed flooded compartments, arrangements are to be made to ensure that progressive flooding cannot thereby extend to compartments other than those assumed to be flooded for each case of damage. However, the Society may permit minor progressive flooding if it is demonstrated that its effects can be easily controlled and the safety of the vessel is not impaired.</t>
  </si>
  <si>
    <t xml:space="preserve">C-1-10-5.7.1  General
Unless otherwise specified, the fluid lines referred to in this Section are to consist of pipes connected to the vessel's structure by means of collars or similar devices.
C-1-10-5.7.2  Arrangement of supports
Shipyards are to take care that:
 - the arrangement of supports and collars is to be such that pipes and flanges are not subjected to abnormal bending stresses, taking into account their own mass, the metal they are made of, and the nature and characteristics of the fluid they convey, as well as the contractions and expansions to which they are subjected
 - heavy components in the piping system, such as valves, are to be independently supported.
</t>
  </si>
  <si>
    <t xml:space="preserve">C-1-10-5.8.1  General
Cocks, valves and other accessories are generally to be arranged so that they are easily visible and accessible for manoeuvring, control and maintenance. They are to be installed in such a way as to operate properly.
C-1-10-5.8.2  Valves and accessories
In machinery spaces and tunnels, the cocks, valves and other accessories of the fluid lines referred to in this Section are to be placed:
- above the floor, or
- when this is not possible, immediately under the floor, provided provision is made for their easy access and control in service.
</t>
  </si>
  <si>
    <t xml:space="preserve">C-1-10-5.8.3  Flexible hoses and expansion joints
a. Flexible hoses and expansion joints are to be in compliance with [2.6]. They are to be installed in clearly visible and readily accessible locations.
b. The number of flexible hoses and expansion joints is to be kept to minimum.
c. In general, flexible hoses and expansion joints are to be limited to a length necessary to provide for relative movement between fixed and flexibly mounted items of machinery/equipment or systems.
d. The installation of a flexible hose assembly or an expansion joint is to be in accordance with the manufacturer's instructions and use limitations, with particular attention to the following:
- orientation
- end connection support (where necessary)
- avoidance of hose contact that could cause rubbing and abrasion
- minimum bend radii.
e. Flexible hose assemblies or expansion joints are not to be installed where they may be subjected to torsion deformation (twisting) under normal operating conditions.
f. Where flexible hoses or an expansion joint are intended to be used in piping systems conveying flammable fluids that are in close proximity of heated surfaces, the risk of ignition due to failure of the hose assembly and subsequent release of fluids is to be mitigated, as far as practicable, by the use of screens or other similar protection, to the satisfaction of the Society.
g. The adjoining pipes are to be suitably aligned, supported, guided and anchored.
h. Isolating valves are to be provided permitting the isolation of flexible hoses intended to convey flammable oil or compressed air.
i. Expansion joints are to be protected against over extension or over compression.
j. Where they are likely to suffer external damage, flexible hoses and expansion joints of the bellows type are to be provided with adequate protection.
</t>
  </si>
  <si>
    <t xml:space="preserve">C-1-10-5.8.5  Pressure gauges
Pressure gauges and other similar instruments are to be fitted with an isolating valve or cock at the connection with the main pipe.
</t>
  </si>
  <si>
    <t xml:space="preserve">C-1-10-5.8.6  Nameplates
Accessories such as cocks and valves on the fluid lines referred to in this Section are to be provided with nameplates indicating the apparatus and lines they serve except where, due to their location on board, there is no doubt as to their purpose.
Nameplates are to be fitted at the upper part of air and sounding pipes.
</t>
  </si>
  <si>
    <t>C-1-1-3.5.1 All gauges are to be grouped, as far as possible, near each manoeuvring position; in any event, they are to be clearly visible.</t>
  </si>
  <si>
    <t>Valves nameplates</t>
  </si>
  <si>
    <t xml:space="preserve">101.2 - Except as otherwise specified, all stainless steel shall be AISI 304 or 306 for interior applications, and AISI 316L for weather applications.
Where practical, for weather applications that will require frequent disassembly and the dissimilar metals can be effectively isolated, stainless steel fasteners shall be used.
</t>
  </si>
  <si>
    <t>Pump orientation</t>
  </si>
  <si>
    <t>Pump venting</t>
  </si>
  <si>
    <t>Pump types</t>
  </si>
  <si>
    <t>Auxiliary equipment</t>
  </si>
  <si>
    <t>Pipe threads</t>
  </si>
  <si>
    <t xml:space="preserve">500 - Shafts of horizontal pumps shall be oriented fore and aft.
</t>
  </si>
  <si>
    <t xml:space="preserve">500 - Means shall be provided for venting lake water and freshwater pumps into the bilge.
</t>
  </si>
  <si>
    <t xml:space="preserve">500 - Where two or more pumps of the same size and type are required for a particular service, they shall be identical. Pumps for fuel oil and lubricating oil shall be positive displacement type.
</t>
  </si>
  <si>
    <t xml:space="preserve">500 - Auxiliary equipment fitted shall be kept to a single solution provider as far as practicable, in order to ease maintenance and replacement (examples: electric motors, valves, gauges, hoses, couplings, control equipment, electric fixtures, fans, motor starters, filters, etc.).
</t>
  </si>
  <si>
    <t xml:space="preserve">500 - All pipe threads, etc. shall be kept to a common standard.
</t>
  </si>
  <si>
    <t xml:space="preserve">504.1 - Instruments and their components shall be of rugged construction, for marine service, and not adversely affected by vibration, temperature, moisture, impact, or dust and tailored to their particular applications. Failure or removal of an instrument shall not cause the system to be inoperable.
</t>
  </si>
  <si>
    <t xml:space="preserve">505 - Unless otherwise specified, piping systems shall be of Class approved materials, and appropriate to the specific system.
All piping and support systems, materials, accessories, hangars, design parameters, fabrication and assembly techniques, welding, testing and inspections shall meet or exceed the requirements of Class Rules and regulatory body requirements, as well as the recommendations of equipment manufacturers.
</t>
  </si>
  <si>
    <t xml:space="preserve">505 - The maximum allowable velocities for the various system fluids, in conjunction with the line sizing, shall be based on pressure drop determined by pressure and flow requirements of equipment and appurtenances within a system without imposing an increase in the system's pumping capacities. Consideration should also be given to reducing radiated noise due to fluid flow.
</t>
  </si>
  <si>
    <t xml:space="preserve">505 - All piping, valves, valve handles, and strainers shall be located below the floor plating with adequate access panels provided. Piping and pipe fittings and components shall be protected from foot traffic.
</t>
  </si>
  <si>
    <t xml:space="preserve">505 - Completed piping and tubing systems shall be arranged to provide accessibility to installed valves and equipment. All pumps shall be provided with suction and discharge pressure gauges, and where indicated on the systems diagrams, pumps shall be provided with strainers.
</t>
  </si>
  <si>
    <t xml:space="preserve">505 - All piping to flexibly mounted equipment shall be fitted with Class approved flexible hoses or resilient connectors to prevent any problems caused by vibration.
</t>
  </si>
  <si>
    <t xml:space="preserve">C-1-10-7.1.1  Independence of ballast lines
Ballast lines are to be entirely independent and distinct from other lines except where permitted in [5.4].
C-1-10-7.1.2  Prevention of undesirable communication between spaces or with the river
Ballast systems in connection with bilge systems are to be so designed as to avoid any risk of undesirable communication between spaces or with the river.
C-1-10-7.1.3  Alternative carriage of ballast water or other liquids and dry cargo
Holds and deep tanks designed for the alternative carriage of water ballast, fuel oil or dry cargo are to have their filling and suction lines provided with blind flanges or appropriate change-over devices to prevent any mishandling.
</t>
  </si>
  <si>
    <t xml:space="preserve">C-1-10-7.2.1  Filling and suction pipes
a. All tanks including aft and fore peak and double bottom tanks intended for ballast water are to be provided with suitable filling and suction pipes connected to special power driven pumps of adequate capacity.
b. Small tanks used for the carriage of domestic fresh water may be served by hand pumps.
c. Suctions are to be so positioned that the transfer of river water can be suitably carried out in the normal operating conditions of the vessel. In particular, two suctions may be required in long compartments.
</t>
  </si>
  <si>
    <t xml:space="preserve">C-1-10-7.2.2  Pumps
At least two power driven ballast pumps are to be provided, one of which may be driven by the propulsion unit. Sanitary and general service pumps may be accepted as independent power ballast pumps.
Bilge pumps may be used for ballast water transfer provided that:
- they meet the capacity requirements
- suitable piping arrangements are made
- pumps are available for bilge duty when necessary.
</t>
  </si>
  <si>
    <t xml:space="preserve">C-1-10-7.2.3  Passage of ballast pipes through tanks
If not contained in pipe tunnels, the ballast steel pipes passing through tanks intended to contain fresh water, fuel oil or liquid cargo are:
- to have reinforced thickness, as per  Tab 14
- to consist either of a single piece or of several pieces assembled by welding, by reinforced flanges - or by devices deemed equivalent for the application considered
- to have a minimal number of joints in these lines
- to have expansion bends in these lines within the tank, where needed
- not to have slip joints.
</t>
  </si>
  <si>
    <t xml:space="preserve">C-1-10-7.2.4  Ballast valves and piping arrangements
a. Ballast tank valves
Valves controlling flow to ballast tanks are to be arranged so that they remain closed at all times except when ballasting. Where butterfly valves are used, they are to be of a type able to prevent movement of the valve position due to vibration or flow of fluids.
b. Remote control valves
Remote control valves, where fitted, are to be arranged so that they close and remain closed in the event of loss of control power. The valves may remain in the last ordered position upon loss of power, provided that there is a readily accessible manual means to close the valves upon loss of power.
Remote control valves are to be clearly identified as to the tanks they serve and are to be provided with position indicators at the ballast control station.
</t>
  </si>
  <si>
    <t xml:space="preserve">079.5 - Permanent ballast shall not be used.
The ship shall not be fitted with a liquid ballast system.
</t>
  </si>
  <si>
    <t>529.1 - The ship shall not be fitted with a ballast system.</t>
  </si>
  <si>
    <t>D-1-6-3.3.1 All day rooms normally accessible to passengers and crew as well as galleys and machinery spaces are to be monitored by a type tested, automatic fire detection and alarm system.
D-1-6-3.3.2 Detectors are to be grouped into separate sections, each of which shall not comprise more than one main fire zone or one watertight division and not more than two vertically adjacent decks.
If the fire detection system is designed for remote and individual identification of detectors, several decks in one main fire zone respectively one watertight division may be monitored by the same detector loop. The detector loop shall be so arranged, that in the event of a damage (wire break, short circuit, etc.) only a part of the loop becomes faulty.
Smoke detectors shall be used in passage ways, stairways and escape routes. Heat detectors shall be used in cabins in the accommodation area. Flame detectors shall only be used in addition to the other detectors.
D-1-6-3.3.3 The blowout of a fire and the area concerned are to be signalled automatically to a permanently manned station.
D-1-6-3.3.4 Requirements [3.3.2] and [3.3.3] are deemed to be met in the case of spaces protected by an automatic pressure water-spraying system designed in accordance with Pt C, Ch 3, Sec 4, [3].</t>
  </si>
  <si>
    <t xml:space="preserve">D-1-6-3.7.4  Automatic pressure water spraying system
Where installed, automatic pressure water spraying systems for the passenger area must be ready for operation at all times when passengers are on board. No additional measures on the part of the crew must be needed to actuate the system.
</t>
  </si>
  <si>
    <t xml:space="preserve">524.3 - The ability for water washdown on the Vehicle Deck and all weather decks shall be provided. The main isolation valve for the deck washdown system shall be located in a heated space, with remote actuation on the vehicle deck, provided by extended spindles.
A hose of sufficient length to reach either end of the vessel shall be provided. A hose reel near the hydrant for storing the hose shall be provided.
</t>
  </si>
  <si>
    <t>C-1-10-7 Ballast systems</t>
  </si>
  <si>
    <t xml:space="preserve">D-1-6-3.7.1  General water fire extinguishing system
Passenger vessels over 40 m LWL and passenger vessels with cabins for passengers over 25 m LWL are, in addition to applicable requirements of Pt C, Ch 3, Sec 4, subject to the following requirements:
a. It must be possible to project at least two jets of water simultaneously on any part of the vessel from two different hydrants using for each a single length of hose not more than 20 m long. The length of throw must be at least 12 m with a nozzle diameter of 12 mm.
b. The minimum capacity of the fire pump is to be 20 m3/h.
c. If the fire pump is located in the engine room, a second power-driven fire pump must be provided outside the engine room. The pump drive must be independent of the engine room, and the pump capacity must conform to the preceding items a) and b).
Connections in the piping system with the engine room must be capable of being shut off from outside at the point of entry into the engine room.
A portable pump may be accepted, provided that a permanently installed pump is available in the engine room.
d. Two fire hoses with dual-purpose nozzles are to be located in hose boxes in both fore ship and aft ship. Further fire hoses may be required depending on the size and structural features of the vessel.
</t>
  </si>
  <si>
    <t xml:space="preserve">D-1-6-3.7.3  Fixed gas fire extinguishing systems
Machinery spaces containing internal combustion engines and oil fired boilers shall be provided with a fixed gas fire extinguishing system in compliance with Pt C, Ch 3, Sec 4, [4].
</t>
  </si>
  <si>
    <t>Fire fighting - General water</t>
  </si>
  <si>
    <t>Fire fighting - Fixed gas</t>
  </si>
  <si>
    <t>Fire fighting - Water spray</t>
  </si>
  <si>
    <t>555.3 - In addition to areas required by regulatory bodies, separate fixed fire extinguishing systems shall be provided in any hazardous materials storerooms.</t>
  </si>
  <si>
    <t>Fuel System General</t>
  </si>
  <si>
    <t>541.2 - Each fuel system shall be fitted with at least two fuel pumps, allowing for one to be a backup. Fuel transfer between tanks shall be accomplished using pumps, not the fuel purifier.</t>
  </si>
  <si>
    <t xml:space="preserve">541.3 - The fuel oil service piping shall be composed of pipe runs as straight as possible with a minimum number of elbows used, with flexible connections to the engines and generator.
</t>
  </si>
  <si>
    <t>Fuel overflow</t>
  </si>
  <si>
    <t xml:space="preserve">541.4 - Fuel tanks shall be provided with an overflow tank system with sensors and alarms. Overflow through air escapes, onto decks, or into deck containments is not permitted.
</t>
  </si>
  <si>
    <t xml:space="preserve">541.5 - Fuel purification shall be via a pressurised system using hydroscopic membranes and coarse and fine gauge filters. Fuel centrifuges are not to be used. All filters and membranes are to be duplex type to allow filters to be replaced/maintained during operation.
The fuel filtration system shall be monitored and controlled by the IMCS described in Section 202.
</t>
  </si>
  <si>
    <t xml:space="preserve">C-1-2-2.4.1 Flexible hoses in the fuel and lubricating oil system are to be limited to the minimum and are to be type approved.
</t>
  </si>
  <si>
    <t xml:space="preserve">C-1-2-2.4.1 Unless otherwise stated in Ch 1, Sec 10, propulsion engines are to be equipped with external connections for standby pumps for: fuel oil supply
</t>
  </si>
  <si>
    <t>322
361</t>
  </si>
  <si>
    <t xml:space="preserve">C-1-2-2.4.2  Fuel oil system
Relief valves discharging back to the suction of the pumps or other equivalent means are to be fitted on the delivery side of the pumps.
In fuel oil systems for propulsion machinery, filters are to be fitted and arranged so that an uninterrupted supply of filtered fuel oil is ensured during cleaning operations of the filter equipment, except when otherwise stated in Ch 1, Sec 10.
All external high pressure fuel delivery lines between the high pressure fuel pumps and fuel injectors are to be protected with a shielded piping system capable of containing fuel from a high pressure line failure.
A shielded pipe incorporates an outer pipe into which the high pressure fuel pipe is placed forming a permanent assembly.
The shielded piping system is to include a means for collection of leakages and arrangements are to be provided for an alarm to be given in the event of a fuel line failure.
If flexible hoses are used for shielding purposes, these are to be approved by the Society.
When in fuel oil return piping the pulsation of pressure with peak to peak values exceeds 20 bar, shielding of this piping is also required as above
For vessels classed for restricted navigation, the requirements under a) may be relaxed at the Society's discretion.
</t>
  </si>
  <si>
    <t xml:space="preserve">233.1 - Diesel engines shall be capable of continuous operation using diesel fuel in accordance with ISO-F-DMB-005. 
</t>
  </si>
  <si>
    <t>D-2-1-5.1.1 
The cooling water system is to be designed to ensure the supply of cooling water also when navigating in ice.
For this purpose, at least one river water inlet chest is to be arranged and constructed as indicated hereafter:
the river water inlet is to be situated near the centreline of the vessel and as aft as possible
the chest is to be sufficiently high to allow ice to accumulate above the inlet pipe
a pipe for discharging the cooling water, having the same diameter of the main overboard discharge line, is to be connected to the inlet chest
the area of the strum holes is to be not less than 4 times the inlet pipe sectional area.
Where there are difficulties in satisfying the requirements of b) 3) above, two smaller chests may be accepted, alternatively, provided that they are located and arranged as stated in the other provisions above.
Heating coils may be installed in the upper part of the chests.
Arrangements for using ballast water for cooling purposes may be accepted as a reserve in ballast conditions but are not acceptable as a substitute for the river inlet chests as described above.</t>
  </si>
  <si>
    <t xml:space="preserve">C-1-10-8.1.1  Drinking water tanks
a.  Scantlings of drinking water tanks forming part of the vessel's structure are to comply with Pt B, Ch 5, Sec 5.
Scantlings of independent drinking water tanks are to comply with [2.12].
b.  Drinking water tanks shall not share walls with other tanks.
c.  Pipes which do not carry drinking water shall not be routed through drinking water tanks.
d.  Air and overflow pipes of drinking water tanks are to comply with [9]. They may not be connected to other pipes and may not be routed through tanks which do not contain drinking water. the upper openings of air and overflow pipes are to be protected against the entry of insects.
e.  Sounding pipes must terminate at a sufficient height above the deck and may not be laid through tanks which contain other media than water.
</t>
  </si>
  <si>
    <t xml:space="preserve">C-1-10-8.1.2  Drinking water piping
a.  Drinking water piping may not be connected to piping systems carrying other media and may not be laid through tanks not containing drinking water.
b.  The supply of drinking water into tanks other than drinking water tanks, e.g. expansion tanks of engine fresh water cooling systems, must take place through open funnels or devices to prevent flow-back.
c.  The filling connections of drinking water tanks are to be placed at a sufficient height above the deck and must be capable of being closed.
</t>
  </si>
  <si>
    <t>Sea water cooling system - General</t>
  </si>
  <si>
    <t>Sea water cooling system - Sea chests</t>
  </si>
  <si>
    <t xml:space="preserve">C-1-10-8.1.3  Drinking water pumps
Separate drinking water pumps are to be provided for drinking water systems.
</t>
  </si>
  <si>
    <t xml:space="preserve">532.1 - The fresh water systems shall be designed and provided in accordance with Class and regulatory body requirements.
The fresh water system shall provide services for tank filling, potable water stowage, chilled water system, engine cooling make-up water, and distribution of hot and cold potable water to all required fixtures.
The fresh water service system shall be supplied with stowage tanks, shore supply connections, pressure sets, chilled water pumps, water heaters, drinking fountain in Crew Room and Engine Rooms, and a disinfecting system.
</t>
  </si>
  <si>
    <t xml:space="preserve">532.4 - The cold potable water system shall be designed in accordance with Class and regulatory body requirements, and arranged to provide a continuous supply from the stowage tanks to the hot potable water system and to cold potable water outlets throughout the ship.
Filters with easily replaceable elements shall be provided at sources of drinking water.
The potable water system shall be fitted with at least two pumps, each capable of supplying potable cold water to the ship at maximum demand.
</t>
  </si>
  <si>
    <t xml:space="preserve">532.5 - A hot potable water system shall be designed and provided in accordance with Class and regulatory body requirements.
Hot potable water shall be distributed throughout the ship to all required spaces.
</t>
  </si>
  <si>
    <t xml:space="preserve">532.3 - Toilets shall use water pumped directly from the seabays for flushing and shall not take fresh water from the potable water storage. A secondary strainer shall be installed before the pump to minimize debris pick-up.
</t>
  </si>
  <si>
    <t>Tanks</t>
  </si>
  <si>
    <t>Sanitary discharges</t>
  </si>
  <si>
    <t>C-1-10-8.2.3  Sewage and grey water discharges
The requirements specified below are general and should apply to any vessel fitted with sewage and grey water piping systems.
a.  Except otherwise specified, the sewage (or black water) means:
 - drainage and other wastes from any form of toilets and urinals
 - drainage from medical premises (dispensary, sick bay, etc.) via wash basins, wash tubs and scuppers located in such premises
 - drainage from spaces containing living animals, or
 - other waste waters when mixed with the drainages defined above.
b.  Grey water means other sanitary discharges which are not sewage.
c.  In general, sewage systems should be of a design which will avoid the possible generation of toxic and flammable gases (such as hydrogen sulphide, methane, ammonia) during the sewage collection and treatment. Additional means of protection is to be suitable ventilation of the pipework and tanks.
d.  Drain lines from the hospital area should be, as far as practicable, separated from other discharges and fitted to the drain collector at the lowest level.</t>
  </si>
  <si>
    <t xml:space="preserve">593.4 - Black and grey water on board the vessel shall discharge to a sewage holding tank using a sewage collection system, in accordance with Class and regulatory body requirements.
</t>
  </si>
  <si>
    <t xml:space="preserve">593.4 - The sewage system piping shall be designed to minimize the number of 90 degree elbows, and with removable lengths that are accessible, and with accessible clean out access points, to facilitate maintenance. Clean outs shall be fitted on all accessible 90 degree elbows
All black water piping shall be a minimum of four (4) inches (100 mm) outer diameter. All grey water piping shall be a minimum of three (3) inches (75 mm) outer diameter.
All sinks and toilets shall be gravity drain as far as practicable. There shall be no lift stations except for the sink and head located in the Engine Room, if required.
</t>
  </si>
  <si>
    <t xml:space="preserve">593.4 - The sewage and waste water system shall collect and hold all sewage, and waste water, 16 cubic metres minimum, with no overboard discharge of sewage, or waste water, during this period. The holding tank shall be located in a separate WT subdivision from operating spaces.
</t>
  </si>
  <si>
    <t xml:space="preserve">528 - The ship’s plumbing and drainage systems shall be provided in accordance with Class and regulatory body requirements.
Decks are to be fitted with the necessary scuppers of a minimum 4” in diameter covered with screens and drain pipes to drain off rainwater and accumulated spray. Good drainage at each deck level is imperative to ensure that there is no standing water on the decks.
Decks at the top of any exterior stairs are to include a drainage trough that drains into scuppers, similar to that shown in Figure 528-1.
</t>
  </si>
  <si>
    <t>Tank</t>
  </si>
  <si>
    <t>Sewage disposal</t>
  </si>
  <si>
    <t>Deck drains and scuppers</t>
  </si>
  <si>
    <t>Principle</t>
  </si>
  <si>
    <t>Height above deck</t>
  </si>
  <si>
    <t xml:space="preserve">C-1-10-9.1.3  Height of air pipes
Their open ends are to be so arranged as to prevent the free entry of water in the compartment.
The height dAP, in m, of air pipes above the deck is to be such that:
zAP ≥ max (T + n / 1,7 ; zLE) + δAP
where:
zAP :  Z co-ordinate, in m, of the top of air pipe
zLE :  Z co-ordinate, in m, of the lower end (above deck) of air pipe
n :  Navigation coefficient defined in  Pt B, Ch 3, Sec 1, [5.2]
T :  Draught, in m, defined in Pt B, Ch 1, Sec 2
δAP :  Increase of air pipe height, in m
for pipes with closing devices:  δAP = 0,15
for pipes without closing devices:  δAP = max (0,15 ; 0,39 n)
</t>
  </si>
  <si>
    <t xml:space="preserve">C-1-10-9.2.1  Principle
a.  Sounding devices are to be fitted to tanks intended to contain liquids as well as to all compartments which are not readily accessible at all times, i.e. void spaces, cofferdams and bilges (bilge wells).
b.  For compartments normally intended to contain liquids, the following systems may be accepted in lieu of sounding pipes:
 - a level gauge of an approved type efficiently protected against shocks, or
 - a remote level gauging system of an approved type, provided an emergency means of sounding is available in the event of failure affecting such system.
c. The internal diameter of sounding pipes is not to be less than 32 mm. Where sounding pipes pass through refrigerated spaces, or through the insulation of refrigerated spaces in which the temperature may be below 0°C, their internal diameter is to be at least 60 mm.
</t>
  </si>
  <si>
    <t xml:space="preserve">C-1-10-9.2.2  General arrangement
As far as possible, sounding pipes are to be laid straight and are to extend as near as possible to the bottom of the tank.
Sounding pipes which terminate below the deepest load waterline are to be fitted with self-closing shutoff devices. Such sounding pipes are only permissible in spaces which are accessible at all times. All other sounding pipes are to be extended to the open deck. The sounding pipe openings must always be accessible and fitted with watertight closures.
Sounding pipes of tanks are to be provided close to the top of the tank with holes for equalizing the pressure.
A striking pad is to be fitted under every sounding pipe. Where sounding pipes are connected to the tanks over a lateral branch pipe, the branch-off under the sounding pipe is to be adequately reinforced.
</t>
  </si>
  <si>
    <t>C-1-10-9.2.3  Sounding pipes for fuel and lubricating oil tanks
Where sounding pipes cannot be extended above the open deck, they must be provided with self-closing shutoff devices as well as with self-closing test valves.
The openings of sounding pipes must be located at a sufficient distance from boilers, electrical equipment and hot components.
Sounding pipes shall not terminate in accommodation or service spaces. They are not to be used as filling pipes.</t>
  </si>
  <si>
    <t xml:space="preserve">D-1-6-3.2.1  Sounding pipes
Sounding pipes of fuel tanks may not terminate in accommodation or passenger spaces.
</t>
  </si>
  <si>
    <t>Sounding fuel tanks</t>
  </si>
  <si>
    <t xml:space="preserve">506 - The Builder shall provide vents on all the tanks (whether structural or free standing). Sizes of vents shall be to the requirements of Class Rules. All vent heads shall be clearly marked with nameplates each having a brief description of the tank it is servicing. Tank vent pipes shall be suitable for the tank contents and to suit Class Rules.
</t>
  </si>
  <si>
    <t xml:space="preserve">506 - In general, all vents and fill pipes shall be fitted snug to the superstructure or railings, such that the deck is free of tripping hazards.
</t>
  </si>
  <si>
    <t xml:space="preserve">506 - To prevent the need to break a vent pipe at a flange to insert a blanking plate in order to pressure test the tank, all vent pipes shall be fitted with a hinged cap capable of making the vent pipe gas-tight. The cap and gaskets shall be of a material compatible with the vent pipe material and associated tank contents. The cap shall be capable of being locked in the open position when not being used. All dogs / latches shall not be a snagging hazard.
</t>
  </si>
  <si>
    <t xml:space="preserve">506 - All built-in tanks shall have sounding pipes fitted, flush to the Main Deck, with threaded bronze covers, engraved with a proper description of the applicable tank. The sounding pipes are to be constructed with as straight a run as possible, to ensure that any sounding tape has free passage in order to give an accurate reading of the level of the tank’s contents. Sounding pipes shall end at a location above the vehicle deck.
</t>
  </si>
  <si>
    <t>De-aeration and filling pipes</t>
  </si>
  <si>
    <t>De-aeration General</t>
  </si>
  <si>
    <t>De-aeration - Cap</t>
  </si>
  <si>
    <t>Sounding - General</t>
  </si>
  <si>
    <t>330
361</t>
  </si>
  <si>
    <t>Standby pumps</t>
  </si>
  <si>
    <t>Filtration, overpressure and cooling</t>
  </si>
  <si>
    <t xml:space="preserve">C-1-2-2.4.1Unless otherwise stated in Ch 1, Sec 10, propulsion engines are to be equipped with external connections for standby pumps for: lubricating oil and cooling water circulation.
</t>
  </si>
  <si>
    <t xml:space="preserve">C-1-2-2.4.3  Lubricating oil system
Efficient filters are to be fitted in the lubricating oil system when the oil is circulated under pressure.
In such lubricating oil systems for propulsion machinery, filters are to be arranged so that an uninterrupted supply of filtered lubricating oil is ensured during cleaning operations of the filter equipment, except when otherwise stated in Ch 1, Sec 10.
Relief valves discharging back to the suction of the pumps or other equivalent means are to be fitted on the delivery side of the pumps.
The relief valves may be omitted provided that the filters can withstand the maximum pressure that the pump may develop.
Where necessary, the lubricating oil is to be cooled by means of suitable coolers.
</t>
  </si>
  <si>
    <t xml:space="preserve">233.1 - All diesel engine lubrication oil systems shall be fitted with independent electrically driven lubrication oil pumps for priming the on-engine lubrication oil system, and circulating warm oil prior to engine start.
</t>
  </si>
  <si>
    <t>Pre-heating</t>
  </si>
  <si>
    <t>Simplicity</t>
  </si>
  <si>
    <t xml:space="preserve">262.1 - A common Lubrication Oil System shall be utilized wherever possible within the Ship in order to minimise the number and complexity of lubrication oil systems.
</t>
  </si>
  <si>
    <t>Lub-oil transfer pump</t>
  </si>
  <si>
    <t xml:space="preserve">262.1 - Electric clean lubrication oil transfer pump(s) with water separation and filtration shall be provided and shall have a positive displacement mechanical meter(s), with odometer-type readout, in the pump(s) discharge piping to provide the capability to monitor the amount of oil supplied to machinery sumps.
</t>
  </si>
  <si>
    <t xml:space="preserve">262.2 - If the vessel is fitted with an emergency diesel generator, a separate lubrication oil tank shall be located in the Emergency Diesel Generator Room. However, if the emergency diesel uses the same lubrication oil type as the main engines, the fill requirement may be met by providing a fill line from the main engine lubrication oil system.
</t>
  </si>
  <si>
    <t xml:space="preserve">262.3 - A lubrication oil storage tank shall be located at each end of the vessel, capable of providing lubrication oil to each thruster at that end. The storage tank shall be sized to hold the oil for one thruster.
</t>
  </si>
  <si>
    <t xml:space="preserve">262.3 - An electric, clean lubrication oil transfer pump with water separation and filtration shall be provided. A fill hose that can reach the fill point of each thruster with a manual valve to regulate the flow shall be provided.
Motor control for lubrication system shall be within the sight of the thruster oil level gauge.
</t>
  </si>
  <si>
    <t xml:space="preserve">262.4 - The vessel shall be fitted with day service tanks for every lubricating oil, filled from a deck connection. Each tank shall be 225 litres.
</t>
  </si>
  <si>
    <t>Dirty-oil tank</t>
  </si>
  <si>
    <t xml:space="preserve">C-1-10-5.9.5  Drain tank
The drain tank is not to form part of an overflow system and is to be fitted with an overflow alarm device.
In vessels required to be fitted with a double bottom, appropriate precautions are to be taken when the drain tank is constructed in the double bottom, in order to avoid flooding of the machinery space where drip trays are located, in the event of accidentally running aground.
</t>
  </si>
  <si>
    <t>Drip trays</t>
  </si>
  <si>
    <t xml:space="preserve">262.1 - The Waste Oil Tank shall be capable of simultaneously holding two complete oil changes for each engine.
</t>
  </si>
  <si>
    <t xml:space="preserve">262.1 - Dirty oil from the machinery sumps shall be capable of being transferred to the Waste Oil Tank using the oily waste transfer pump.
</t>
  </si>
  <si>
    <t xml:space="preserve">500 - Bases for pumps handling oil shall be provided with oil troughs and drains fitted with petcocks. Drain piping shall convey oil to the oily waste system.
</t>
  </si>
  <si>
    <t>Dirty-oil from sumps</t>
  </si>
  <si>
    <t>Drains for flammable fluids</t>
  </si>
  <si>
    <t>Sludge tank</t>
  </si>
  <si>
    <t xml:space="preserve">C-1-10-5.9 The draining system of the room where thermal fluid heaters are fitted, as well as the save all of the latter, are not to allow any fire extension outside this room.
</t>
  </si>
  <si>
    <t xml:space="preserve">262.1 - A sludge tank shall be provided in accordance with the rules and regulations.
</t>
  </si>
  <si>
    <t xml:space="preserve">635 - Maintaining compartment temperatures within the temperature range specified in Section 640.2, shall be primarily achieved through maximising thermal insulation. In general, the insulation system shall be designed to minimize the heating and air conditioning loads.
Insulation exposed to view shall be provided with protection from damage.
Thermal insulation shall be fitted to the spaces that are designated as accommodation for passengers or crew. The thermal insulation shall be extended 508mm or to nearest stiffener beyond the intersection or terminal point to avoid the risk of condensation. At bulkheads in these areas, the insulation and vapor barrier shall be covered with joiner lining panels.
</t>
  </si>
  <si>
    <t xml:space="preserve">635.2 - Anti-sweat treatment shall be applied on the warm side of uninsulated boundaries, including webs and flanges of beams and stiffeners; in areas where sweating can occur because of temperature differences on the deck under; on all vertical boundaries of air conditioned spaces common to non-air-conditioned spaces; on the exterior surface of tanks; and on any area where condensation can affect electrical installation.
</t>
  </si>
  <si>
    <t>635.3 - All HVAC ventilation ductwork shall be insulated with a minimum 25mm thick thermal insulation, to prevent condensation from forming on the exterior of the ductwork. The ductwork shall be suitably wrapped with a foil vapor barrier. The ductwork shall be accessible for maintenance requirements.</t>
  </si>
  <si>
    <t xml:space="preserve">640.2 - TABLE 640-1   HABITABILITY REQUIREMENTS
INTERIOR TEMPERATURES: 
Minimum winter habitable space temperature: +22 degrees C
Minimum winter space temperature except for habitable spaces: +15 degrees C
Minimum winter machinery space temperature: +18 degrees C
Maximum summer habitable space temperature: +25 degrees C and 50% relative humidity
Maximum summer machinery space temperature: +10 degrees C above ambient air temperature, up to a maximum of 40 degrees C
</t>
  </si>
  <si>
    <t>C-1-1-3.6.1 Machinery spaces are to be sufficiently ventilated so as to ensure that when machinery or boilers therein are operating at full power in all weather conditions, including heavy weather, a sufficient supply of air is maintained to the spaces for the operation of the machinery.
This sufficient amount of air is to be supplied through suitably protected openings arranged in such a way that they can be used in all weather conditions.
Special attention is to be paid both to air delivery and extraction and to air distribution in the various spaces. The quantity and distribution of air are to be such as to satisfy machinery requirements for developing maximum continuous power.
The ventilation is to be so arranged as to prevent any accumulation of flammable gases or vapours.</t>
  </si>
  <si>
    <t xml:space="preserve">509 - Heating, ventilation and air conditioning (HVAC) systems (including equipment, access covers, flanges and recirculation ducts) shall be covered with insulation to minimize condensation and external heat transfer. A study shall be completed and delivered to the Owner to demonstrate that HVAC air intakes will not circulate ship’s exhaust fumes; the study report will require to be approved by the Owner prior to construction work commencing.
Air conditioning preheaters, ducts, cooling coils, fans and other equipment carrying chilled or recirculated air shall be completely insulated and be provided with an approved vapour seal, unless condensation can be controlled by other means.
Acoustical treatment shall be provided to attenuate HVAC system generated noise. Where both thermal insulation and acoustic absorptive treatment are necessary, acoustic absorptive treatment only shall be provided.
Insulation shall be in accordance with Class rules.
Galvanized metal sheathing, guards, or other protection shall be provided in areas where insulation is exposed and may be subject to damage. Metal sheathing thickness shall be compatible with the area covered, but in no case less than 16 gauge perforated steel plate.
Fiberglass insulation exposed to air shall be lined. Lining shall be cleanable without deformation.
</t>
  </si>
  <si>
    <t>Ductwork insulation</t>
  </si>
  <si>
    <t>Ductwork insulation, thermal &amp; acoustical, sheeting</t>
  </si>
  <si>
    <t xml:space="preserve">512.1 - The ship’s HVAC system shall be capable of maintaining the air temperature and humidity of all accommodation and work space in accordance with the regulations, based on the environmental conditions described in Section 050, unless otherwise stated in this specification.
The following types of spaces shall be climate controlled:
a. Accommodation spaces including sanitary spaces;
b. Passenger Spaces including sanitary spaces;
c. Control Stations; (Pilot House, Engine Control Room)
d. Computer Room
e. Passageways within air conditioned zones; and
f. Spaces containing air-cooled propulsion machinery, where the heat load cannot be cooled with mechanically supplied air at ambient temperature.
All other interior spaces with the exception of tanks and chain lockers shall be mechanically ventilated and heated.
Ventilation system intakes shall be designed to take special care to prevent the ingestion of stack gasses, insects, sewage vent gasses, and vehicle emissions.
</t>
  </si>
  <si>
    <t xml:space="preserve">233.1 - Internal combustion engines, which draw combustion air from the weather, shall be rated at the maximum ambient conditions specified in Section 050. For internal combustion engines that draw combustion air from the surrounding machinery space, the engines shall be rated at the air temperature required by regulatory bodies and seawater temperature based on the maximum conditions specified in Section 050.
</t>
  </si>
  <si>
    <t xml:space="preserve">512.3 - Supply terminals shall properly ventilate spaces without creating drafts.
Ventilation ducting shall be accessible for cleaning and shall be provided with cleaning ports/accesses to facilitate cleaning.
Ventilation system intakes shall be designed to prevent the ingestion of stack gasses, insects, sewage vent gasses, and vehicle emissions.
The ventilation system shall be fitted with an automatic fire damper system, tied into the fire alarm system.
</t>
  </si>
  <si>
    <t>Ventilation general</t>
  </si>
  <si>
    <t>370</t>
  </si>
  <si>
    <t>371</t>
  </si>
  <si>
    <t>AC general</t>
  </si>
  <si>
    <t>AC units</t>
  </si>
  <si>
    <t xml:space="preserve">512.2 - The ship’s heating system shall be designed and provided in accordance with Classification Society requirements. Safety is a principle goal in designing the heating system.
No baseboard electrical heating shall be installed.
If used, electric duct heaters used as preheaters or as re-heaters for compartments served by mechanical supply, and as re-heaters on air conditioning supply branches, shall have a temperature rise across the heater not below the heater manufacturer's recommended minimum temperature rise.
Unit heaters shall be provided in machinery spaces, in compartments that require heat but are not served by a mechanical supply, in compartments requiring heat when the ventilation systems are secured, and in non-air-conditioned compartments whose duct heater would require a delivery air temperature greater than 43 degrees Celsius.
</t>
  </si>
  <si>
    <t>Heating system general</t>
  </si>
  <si>
    <t xml:space="preserve">C-1-2-3.4.1 In addition to the requirements given in Ch 1, Sec 10, [18], the exhaust system is to be efficiently cooled or insulated in such a way that the surface temperature does not exceed 220°C (see also Ch 1, Sec 1, [3.7]).
</t>
  </si>
  <si>
    <t xml:space="preserve">259.2 - All diesel engines shall each have a separate exhaust piping system with emissions treatment components.
The exhaust piping is to be of steel and stainless steel construction. Suitable gaskets shall be fitted between flanged connections. Exhaust runs from main engines and generators shall be insulated with suitable marine grade insulation c/w Redpad cloth or equivalent oil repellent jacketing. All flexes shall be covered with removable type blankets. The low point of the exhaust systems shall have a drain with a valve fitted.
</t>
  </si>
  <si>
    <t xml:space="preserve">259.2 - Diesel engine combustion air and exhaust systems shall minimize pressure drop and back pressure, turbulence, noise and shipping of water or spray at weather openings.
</t>
  </si>
  <si>
    <t xml:space="preserve">259.2 -The system shall be arranged to provide maximum isolation of vibration and exhaust noise generated by machinery from vessel structure, and to ensure all joints are readily accessible for maintenance.
</t>
  </si>
  <si>
    <t xml:space="preserve">259.2 - The internal surface of ducting shall be as smooth as practicable. Strengthening members shall be on the external surface of the duct.
</t>
  </si>
  <si>
    <t xml:space="preserve">259.2 - Sections of engine exhausts accessible in the Engine Room shall be sized for ease of removal through the Engine Room hatch, and fitted with removable insulation and lifting lugs.
</t>
  </si>
  <si>
    <t>259.2 - Over the full operating range, the combustion intake and exhaust systems shall not impose a pressure drop or back pressure which will exceed the acceptable values of the engine manufacturer's recommendations.</t>
  </si>
  <si>
    <t>Supports</t>
  </si>
  <si>
    <t>Vibration</t>
  </si>
  <si>
    <t>Pressures</t>
  </si>
  <si>
    <t>Internal surface</t>
  </si>
  <si>
    <t>Topside arrangement</t>
  </si>
  <si>
    <t>Piping removal</t>
  </si>
  <si>
    <t xml:space="preserve">259.3 - Exhaust silencers shall be 35 dB(A) attenuation with a back pressure matched to engine's performance requirements.
</t>
  </si>
  <si>
    <t xml:space="preserve">D-1-6-5.2.2  Emergency source of electrical power
The following are admissible for use as an emergency power source:
a. auxiliary generator sets with their own independent fuel supply and independent cooling system which, in the event of a power failure, turn on and take over the supply of power within 45 seconds automatically or, if they are located in the immediate vicinity of the wheelhouse or any other location permanently manned by crew members, can be turned on manually, or
b. storage batteries, which, in the event of a power failure, turn on automatically or, if they are located in the immediate vicinity of the wheelhouse or any other location permanently manned by crew members, can be turned on manually. They shall be capable of powering the above mentioned power consumers throughout the prescribed period without recharging and without an unacceptable voltage reduction.
</t>
  </si>
  <si>
    <t>Emergency power - Source</t>
  </si>
  <si>
    <t xml:space="preserve">556.1 - The hydraulic fluid system(s) shall be designed in accordance with the following requirements:
a. The Canada Shipping Act 2001;
b. Classification Society Rules and Regulations; and
c. Section 73 Noise and Vibration of this Specification.
The vessel shall be fitted with one, or more, HPUs sized to meet the power requirements of the final
equipment selected. Each HPU shall be fitted with two hydraulic pumps, one in-service and one as back up.
</t>
  </si>
  <si>
    <t>610</t>
  </si>
  <si>
    <t xml:space="preserve">556.1 - The hydraulic system shall be complete with, but not limited to, the following:
a. Valves;
b. Variable displacement pump(s);
c. Isolation valves;
d. Bleed ports;
5 e. Filters;
f. Strainers;
g. Reservoir(s);
h. Reservoir drains;
i. Manhole / access into the reservoir(s);
10 j. Fill opening with strainer, and cap;
k. Breather fitted with a strainer;
l. Save all(s);
m. Fluid containment coaming;
n. Level gauges;
15 o. Pressure gauges on the supply and return lines;
p. Temperature gauges;
q. Low-level switches;
r. Local and remote controls; and
s. Pressure filter differential gauge.
</t>
  </si>
  <si>
    <t>Hydraulic fluid</t>
  </si>
  <si>
    <t>HPU's</t>
  </si>
  <si>
    <t xml:space="preserve">556.1 - The hydraulic systems shall be capable of removing condensate water from the hydraulic fluid in the hydraulic fluid reservoirs.
The hydraulic system shall be designed to minimize the number of hydraulic fluid types. The operating temperatures and pressures shall be considered during hydraulic fluid selection. The hydraulic system shall be designed to provide adequate cooling and heating of the hydraulic fluid for the vessels operating environment as described in this specification.
</t>
  </si>
  <si>
    <t>Environmental conditions</t>
  </si>
  <si>
    <t xml:space="preserve">556.1 - Any outside hydraulic equipment shall be able to operate in in the environmental conditions described in Section 050.6.
</t>
  </si>
  <si>
    <t xml:space="preserve">556.1 -HPUs shall be skid mounted, self-contained, air-cooled, high pressure units, with sufficient capacity for the duty. The hydraulic reservoirs and pump(s) shall be surrounded by a fluid containment coaming to contain hydraulic fluid leaks. As far as is practicable, the hydraulic system shall be designed so that pumps are started under no load conditions.
HPUs shall be filled locally using the fill opening. The fill opening shall be easily accessible. The hydraulic reservoir shall be fitted with a connection to allow offline filtration and draining of the reservoir.
</t>
  </si>
  <si>
    <t xml:space="preserve">556.1 - Piping and tubing sizes, and pipe bend geometry shall be chosen to minimize pressure losses and noise within the system.
All piping shall be routed clear of hot surfaces and electrical equipment. Hydraulic pipes exposed to the elements shall be wrapped in thermal insulation. Hydraulic fittings exposed to the elements shall be wrapped in protective petrolatum tape.
</t>
  </si>
  <si>
    <t>Hoses</t>
  </si>
  <si>
    <t>556.1 - Flexible hoses shall be sized to provide full pipe flow without restriction. Hose length and end fittings shall be standardized as much as possible, in order to minimize the number of spares. If possible, hose connection shall be type approved quick-connect type fittings on the hydraulic rams and cylinders
Flexible hoses shall possess lengths suitable for full extension and retraction of actuators. Hoses shall be run without twist (lay lines shall be straight), shall not kink or bend excessively and shall be clear of obstructions. Hoses shall be protected from sources of abrasion by proper routing, hose selection, or applying additional protection (ex. polyethylene spiral wrap, or equal).</t>
  </si>
  <si>
    <t xml:space="preserve">556.1 - Ample provision shall be made in piping arrangements, connections and hangers for expansion due to temperature and pressure changes. Sliding or expansion joints are not to be used.
The hydraulic system and components shall be designed for hydraulic shock pressures up to 150% of the operating pressure.
</t>
  </si>
  <si>
    <t>Expansion &amp; shock</t>
  </si>
  <si>
    <t xml:space="preserve">556.1 - Valves shall be provided to enable individual branches of the system to be isolated, and drained, so that equipment can be maintained without shutting down the remaining hydraulic systems/equipment.
</t>
  </si>
  <si>
    <t xml:space="preserve">556.1 - Relief valves shall be set at 110% of the maximum system operating pressure.
</t>
  </si>
  <si>
    <t xml:space="preserve">556.1 - Cadmium, zinc, copper, brass, and bronze shall not be used within any part of the hydraulic system that may come into contact with the hydraulic fluid.
</t>
  </si>
  <si>
    <t>Safety valves</t>
  </si>
  <si>
    <t>Drain valves</t>
  </si>
  <si>
    <t>Materials</t>
  </si>
  <si>
    <t xml:space="preserve">556.1 - Filters and strainers shall be capable of being serviced without having to drain the hydraulic fluid from the piping and/or reservoir. The supply line filter(s) shall be an eight micron type and shall be rated for four (4) times the system flow rate, or as recommended by OEM.
</t>
  </si>
  <si>
    <t>Filters</t>
  </si>
  <si>
    <t>Cilinders</t>
  </si>
  <si>
    <t xml:space="preserve">556.1 - Marine duty hydraulic cylinders shall be employed, and shall have the following minimum specifications:
a. 316 stainless steel construction for the rod arm and cylinder liners;
b. High quality, marine duty bearings at rod and barrel ends, suitable for the required motion, to prevent binding or premature bearing wear; and
c. Soft seal type (i.e. no metal-to-metal contact) hydraulic connections, Parker-Hannifin, or equal.
Hydraulic rods that may be exposed to the weather shall be provided with a titanium nitride coating, or equivalent.
</t>
  </si>
  <si>
    <t xml:space="preserve">556.2 - The HPU reservoir(s) shall be provided with a low level alarm. The alarms shall be integrated into the ICMS.
The HPU reservoir(s), and cooling water piping, shall be provided with temperature alarms. The alarms shall be integrated into the ICMS.
The HPU(s) shall be provided with a pressure alarm. The alarms shall be integrated into the ICMS. The HPU reservoir(s) shall be provided with a low-level switch connected to the reservoir pumps.
Local and remote monitoring and controls shall be provided for each HPU. Local controls and instrumentation (i.e. gauges and alarms) shall be provided at, or close to, each piece of operated machinery.
</t>
  </si>
  <si>
    <t xml:space="preserve">443.3 - The ship’s whistle shall be AirChime or equivalent.
</t>
  </si>
  <si>
    <t>Dehydrators</t>
  </si>
  <si>
    <t xml:space="preserve">551 - Air dehydrators shall be provided. The dehydrators shall be refrigerant type air dryers and use a non- toxic refrigerant with an ozone depleting potential of zero. A valved bypass shall be provided around the dehydrator.
</t>
  </si>
  <si>
    <t xml:space="preserve">551 - Ship service air (low pressure (LP)) shall be distributed at 125 PSI to all equipment, including the ships’ whistle and services requiring compressed air and reduced where necessary to meet equipment requirements. 
</t>
  </si>
  <si>
    <t xml:space="preserve">551 -Ship service air outlets, with a quick-disconnect valve, moisture separator and regulator, shall be provided as a minimum as follows. Other air outlets to be provided as necessary:
TABLE 551-1 Compressed Air (Service) Requirements
Space - Number
Machinery spaces - 4 in each space distributed
Workshops (if fitted) - 4 in each distributed
Vehicle Deck Fwd - 2
Vehicle Deck Aft - 2
Vehicle Deck Midships - 1
Pilot House Level (Exterior) - 1
Deck Storeroom (if fitted) - 1
Near Sewage Tank and pumps - 1
Sea chest with air blow hose connection - 1 Each
</t>
  </si>
  <si>
    <t>Outlets</t>
  </si>
  <si>
    <t xml:space="preserve">555.2 - The vessel shall be fitted with a remote control firefighting system capable of directing fire extinguishing foam and/or water to any location on the Vehicle Deck. The fire monitors shall be capable of being controlled remotely from the Pilot House, and locally at each fire monitor.
The fire monitors shall be capable of being operated independently of each other.
</t>
  </si>
  <si>
    <t>Hi-Fog</t>
  </si>
  <si>
    <t>Monitors vehicle deck</t>
  </si>
  <si>
    <t>640.2 - Noise levels in accommodation areas and control spaces shall meet TP 15211E section 6.2.3 noise level. Particular attention shall be paid to keeping vibration to a minimum level.</t>
  </si>
  <si>
    <t xml:space="preserve">Appendix B
• Distance to travel = 2.7 nautical miles
• Crossing time at 8.5 knots = 20 minutes
• Current Unloading/Loading time = 10 minutes
</t>
  </si>
  <si>
    <t>Cofferdams between tanks</t>
  </si>
  <si>
    <t xml:space="preserve">B-2-1-2.1.1 Cofferdams are to be provided between compartments intended for liquid hydrocarbons (fuel oil, lubricating oil) and those intended for fresh water (drinking water, water for propelling machinery and boilers) as well as tanks intended for the carriage of liquid foam for fire extinguishing.
</t>
  </si>
  <si>
    <t xml:space="preserve">B-2-1-2.1.2 Cofferdams separating fuel oil tanks from lubricating oil tanks and the latter from those intended for the carriage of liquid foam for fire extinguishing or fresh water or boiler feed water may not be required when deemed impracticable or unreasonable by the Society in relation to the characteristics and dimensions of the spaces containing such tanks, provided that:
 - the thickness of common boundary plates of adjacent tanks is increased, with respect to the thickness obtained according to Ch 5, Sec 5, [4] by 2 mm in the case of tanks carrying fresh water or boiler feed water, and by 1 mm in all other cases
 - the sum of the throats of the weld fillets at the edges of these plates is not less than the thickness of the plates themselves
 - the structural test is carried out with a head increased by 1 m with respect to Ch 3, Sec 4, [5.1].
</t>
  </si>
  <si>
    <t>Exemptions for cofferdams</t>
  </si>
  <si>
    <t>B-2-1-2.1.4 Where a corner to corner situation occurs, tanks are not be considered to be adjacent.
Adjacent tanks not separated by cofferdams are to have adequate dimensions to ensure easy inspection.</t>
  </si>
  <si>
    <t>Adjacent or not</t>
  </si>
  <si>
    <t>B-2-1-2.2.1 The fore peak and other compartments located forward of the collision bulkhead cannot be used for the carriage of fuel oil or other flammable products.</t>
  </si>
  <si>
    <t>Peak tanks</t>
  </si>
  <si>
    <t xml:space="preserve">C-1-1-2.6.1 The flash point of liquid fuels for the operation of machinery and boiler installations must be above 55°C.
</t>
  </si>
  <si>
    <t xml:space="preserve">C-1-1-2.6.2 Liquid fuel must be carried in oiltight tanks which may either form part of the hull or must be solidly connected with the vessel's hull.
</t>
  </si>
  <si>
    <t>Fuel tanks</t>
  </si>
  <si>
    <t xml:space="preserve">262.1 - Lubrication oil storage tank(s) shall be provided for each type of oil used and sized to accommodate manufacturer recommendations for two complete change outs for all machinery using each type of oil, plus makeup lubricant.
</t>
  </si>
  <si>
    <t>Lub-oil tanks</t>
  </si>
  <si>
    <r>
      <t xml:space="preserve">B-2-2-2.1.1  List of information
The following information is to be included in the documents to be submitted:
</t>
    </r>
    <r>
      <rPr>
        <sz val="10"/>
        <color theme="1"/>
        <rFont val="Arial"/>
        <family val="2"/>
      </rPr>
      <t>- information about openings (location, tightness, means of closure), pipes or other progressive flooding sources
- information concerning the use of any special cross-flooding fittings with descriptions of damage conditions which may require cross-flooding, when applicable.
The Society may require any other necessary guidance for the safe operation of the vessel.</t>
    </r>
  </si>
  <si>
    <t xml:space="preserve">Hull piping - Material </t>
  </si>
  <si>
    <t xml:space="preserve">B-6-7-5.1.1 The scuppers and discharge pipes are to be constructed of steel. Other equivalent materials are considered by the Society on a case by case basis.
</t>
  </si>
  <si>
    <t>Hull piping - Wall thickness</t>
  </si>
  <si>
    <t xml:space="preserve">B-6-7-5.2.1 The wall gross thickness of scuppers and discharge pipes is to be not less than the shell plating thickness in way of the scuppers, respectively discharge pipes, but need not exceed 8 mm.
</t>
  </si>
  <si>
    <t>Sea chest - Location</t>
  </si>
  <si>
    <t>Sea chest - Arrangement</t>
  </si>
  <si>
    <t>102 
331
622</t>
  </si>
  <si>
    <t>524.2 - All sea bays and overboard fittings shall be clear of bilge keels and other hull projections. Their location shall minimize interference with docking blocks.</t>
  </si>
  <si>
    <t xml:space="preserve">524.2 - Each sea bay shall be suitably sized for its purpose. This includes meeting all water cooling system demands.Each suction sea bay shall be fitted with a removable perforated strainer plate. No parts shall project beyond the shell.  Perforations shall be sized, in discussion with the Owner, to filter out solid particulate matter which will not readily pass through the smallest flow passages not protected by a separate strainer. Branch lines from the mains shall be provided with individual strainers to protect installed equipment.
Each sea bay shall be provided with a duplex strainer, capable of switching strainers in 30 seconds, and a blowdown hose connection.
</t>
  </si>
  <si>
    <t xml:space="preserve">524.1 - Water inlets for engines and air conditioning plants shall be distributed on both sides of the ship.
</t>
  </si>
  <si>
    <t xml:space="preserve">517 - A waste heat recovery system utilizing engine coolant and exhaust heat shall be provided.
The waste heat recovered shall be utilized in the most effective and efficient manner, for reducing heat load in the vessel.
Each heat exchanger circuit must be provided with circulating pumps with isolation valves.
</t>
  </si>
  <si>
    <t xml:space="preserve">Appendix D
SERVICE SYSTEM BAND OR PIPE COLOUR ARROW
Sea Water Cooling Water Green White
Services (Deck Wash, etc.) Green Yellow
Firemain Red  White
Ballast Water Green Black
Fresh Water Cooling Water Blue White
Services (Showers, etc.) Blue Green
Potable Blue Red
Fuel Diesel Yellow Black
Lubricating Oil Storage Orange White
Service System Orange Green
Dirty Oil Orange Black
Air Starting System White Black
Fire Fixed FF System Red Nil
Foam Red Nil
Bilge Suction and Discharge Black White
Synthetic Oils  Yellow Red
Hydraulic Oils  Yellow Blue
Anti-Freeze  Purple White
</t>
  </si>
  <si>
    <t xml:space="preserve">505 - All external pipes shall be capable of being completely drained (for winter operations). Heat tracing is not to be installed for winterisation.
</t>
  </si>
  <si>
    <t>330 
371
380</t>
  </si>
  <si>
    <t xml:space="preserve">C-1-10-5.9.1  General
All necessary precautions are to be taken to reduce fire risks from flammable liquids, such as:
- drips
- leaks under pressure
- overflow
- hydrocarbon accumulation in particular under lower floors
- discharges of oil vapours during heating
- soot or unburnt residue in smoke stacks or exhaust pipes.
</t>
  </si>
  <si>
    <t xml:space="preserve">C-1-10-5.9.2  Prohibition of carriage of flammable oils in forepeak tanks
Fuel oil, lubricating oil and other flammable oils are not to be carried in forepeak tanks or tanks forward of the collision bulkhead.
</t>
  </si>
  <si>
    <t>321 
324 
325 
36x</t>
  </si>
  <si>
    <t>Flammable oils - Pipe run - Accomodation</t>
  </si>
  <si>
    <t>Flammable oils - Pipe run - Hot surfaces</t>
  </si>
  <si>
    <t xml:space="preserve">322 
323 
324 </t>
  </si>
  <si>
    <t>Flammable oils - Pipe run - Oil under pressure</t>
  </si>
  <si>
    <t>Flammable oils - Pipe run - Connections &amp; flexibles</t>
  </si>
  <si>
    <t>Flammable oils - Safeties &amp; vents</t>
  </si>
  <si>
    <t>Flammable oils - General</t>
  </si>
  <si>
    <t xml:space="preserve">C-1-10-5.9.3.a.2 The pipes are not to be located immediately above or close to the hot surfaces (exhaust manifolds, silencers, steam pipelines, boilers, etc.), electrical installations or other sources of ignition. Otherwise, suitably protection (screening and effective drainage to the safe position) is to be provided to prevent of spraying or leakage onto the sources of ignition.
No flammable oil tanks are to be situated where spillage or leakage therefrom can constitute a hazard by falling on:
 - hot surfaces, including those of boilers, heaters, steam pipes, exhaust manifolds and silencers
 - electrical equipment
 - air intakes
 - other sources of ignition.
</t>
  </si>
  <si>
    <t xml:space="preserve">C-1-10-5.9.3.a.1  The conveying of flammable oils through accommodation and service spaces is to be avoided. Where it is not possible, the arrangement may be subject to special consideration by the Society, provided that the pipes are of a material approved having regard to the fire risk.
</t>
  </si>
  <si>
    <t>C-1-10-5.9.3.a.3 Parts of the piping systems conveying heated flammable oils under pressure exceeding 1,8 bar are to be placed above the platform or in any other position where defects and leakage can readily be observed. The machinery spaces in way of such parts are to be adequately illuminated.</t>
  </si>
  <si>
    <t xml:space="preserve">C-1-10-5.9.3.c Parts of flammable oil systems under pressure exceeding 1,8 bar such as pumps, filters and heaters are to comply with the provisions of item b) above.
</t>
  </si>
  <si>
    <t xml:space="preserve">C-1-10-5.9.3.d Pipe connections, expansion joints and flexible parts of flammable oil lines are to be screened or otherwise suitably protected to avoid, as far as practicable, oil spray or oil leakages onto hot surfaces, into machinery air intakes, or on other sources of ignition.
</t>
  </si>
  <si>
    <t>C-1-10-5.9.1 Unless otherwise specified, the requirements in [5.9.3] apply to:
- fuel oil systems, in all spaces
- lubricating oil systems, in machinery spaces
- other flammable oil systems, in locations where means of ignition are present.</t>
  </si>
  <si>
    <t>C-1-10-5.9.3.e Any relief valve or air vent cock fitted within the flammable liquid systems is to discharge to a safe position, such as an appropriate tank.</t>
  </si>
  <si>
    <t xml:space="preserve">C-1-10-5.9.3.f Appropriate means are to be provided to prevent undue opening (due to vibrations) of air venting cocks fitted on equipment or piping containing flammable liquid under pressure.
</t>
  </si>
  <si>
    <t>Flammable oils - Tank leakage</t>
  </si>
  <si>
    <t>32x 
36x</t>
  </si>
  <si>
    <t xml:space="preserve">100 
32x 
36x </t>
  </si>
  <si>
    <t xml:space="preserve">C-1-10-5.9.4  Tanks used for the storage of flammable oils together with their fittings are to be so arranged as to prevent spillages due to leakage or overfilling.
</t>
  </si>
  <si>
    <t xml:space="preserve">C-1-10-5.9.6  Valves
All valves and cocks forming part of flammable oil systems are to be capable of being operated from readily accessible positions and, in machinery spaces, from above the working platform.
</t>
  </si>
  <si>
    <t xml:space="preserve">C-1-10-5.9.7  Level switches
Level switches fitted to flammable oil tanks are to be contained in a steel or other fire-resisting enclosure.
</t>
  </si>
  <si>
    <t>Flammable oils - Valves</t>
  </si>
  <si>
    <t>Flammable oils - Level switches</t>
  </si>
  <si>
    <t xml:space="preserve">C-1-10-5.8.4  Thermometers
Thermometers and other temperature-detecting elements in fluid systems under pressure are to be provided with pockets built and secured so that the thermometers and detecting elements can be removed while keeping the piping under pressure.
</t>
  </si>
  <si>
    <t>Flammable oils - Thermometers</t>
  </si>
  <si>
    <t xml:space="preserve">D-1-6-3.6.1  Integrity of bulkheads and decks
The minimum fire integrity of all bulkheads and decks shall be as shown in Tab 2.
</t>
  </si>
  <si>
    <t>Fire integrity of bulkheads and decks</t>
  </si>
  <si>
    <t>Fire integrity of adjacent spaces</t>
  </si>
  <si>
    <t xml:space="preserve">D-1-6-3.6.2 For the purpose of determining the appropriate fire integrity standard to be applied to boundaries between adjacent spaces, such spaces are classified according to their fire risk described in the following categories.
The title of each category is intended to be typical rather than restrictive.
 a. Control centres: defined in Pt C, Ch 3, Sec 1, [2.4]
Wheelhouse, rooms containing the vessel's radio equipment, rooms containing centralised fire alarm equipment, rooms containing centralised emergency public address system stations and equipment, etc.
 b. Stairwells: defined in Pt C, Ch 3, Sec 1, [2.18]
Interior stairwells, lifts, enclosed emergency escape trunks. In this connection a stairwell which is enclosed at one level only shall be regarded as part of the space from which it is not separated by a fire door, etc.
 c. Muster areas: defined in Pt C, Ch 3, Sec 1, [2.12]
 d. Lounges: defined in Pt C, Ch 3, Sec 1, [2.7]
Cabins, public spaces, sale shops, barber shops and beauty parlours, saunas, pantries containing no cooking appliances, small lockers (deck area &lt; 4 m2), etc.
 e. Machinery spaces: defined in Pt C, Ch 3, Sec 1, [2.10]
Main propulsion machinery room, auxiliary machinery spaces, etc.
 f. Galleys: defined in Pt C, Ch 3, Sec 1, [2.6]
 g. Store rooms: defined in Pt C, Ch 3, Sec 1, [2.20]
Miscellaneous stores, lockers having deck area exceeding 4 m2, air conditioning rooms.
</t>
  </si>
  <si>
    <t xml:space="preserve">664 - The ship shall be fitted with firefighting equipment required by the regulatory bodies to include:
a. Portable fire extinguishers (CO2, dry powder, foam, water as required);
d. Hydrants and Hoses as part of the firemain in accordance with the regulations.
</t>
  </si>
  <si>
    <t xml:space="preserve">664 - An approved fire detection system shall be provided, with the control panel located in the Pilot House. Smoke detectors shall be fitted in the Accommodation Spaces, Engine Room, Auxiliary Machinery Room, Steering Gear Compartment, Passenger Lounges and the Pilot House. Heat detectors shall be fitted in the Engine Room and Auxiliary Machinery Room. Manual pull stations shall be provided throughout the vessel as required by Class rules and regulations.
</t>
  </si>
  <si>
    <t>Firefighting equipment</t>
  </si>
  <si>
    <t>Fire detection system</t>
  </si>
  <si>
    <t>Overflow pipes - Principle</t>
  </si>
  <si>
    <t xml:space="preserve">C-1-10-9.3.1  Overflow pipes are to be fitted to tanks:
 - which can be filled by pumping and are designed for a hydrostatic pressure lower than that corresponding to the height of the air pipe, or
 - where the cross-sectional area of air pipes is less than that prescribed in [9.1.4].
</t>
  </si>
  <si>
    <t xml:space="preserve">C-1-10-9.3.2  
a.  Overflow pipes are to be led:
 - either outside, or
 - in the case of fuel oil or lubricating oil, to an overflow tank of adequate capacity or to a storage tank having a space reserved for overflow purposes.
b.  Overflows from service tanks are generally to be led back either to the fuel bunkers, or to an overflow tank of appropriate capacity.
c.  Where tanks containing the same or different liquids are connected to a common overflow system, the arrangement is to be such as to prevent any risk of:
 - intercommunication between the various tanks due to movements of liquid when emptying or filling, or due to the inclination of the vessel
 - overfilling of any tank from another assumed flooded due to hull damage.
For this purpose, overflow pipes are to be led to a high enough point above the deepest load waterline or, alternatively, non-return valves are to fitted where necessary.
d.  Arrangements are to be made so that a compartment cannot be flooded from the river water through the overflow in the event of another compartment connected to the same overflow main being bilged. To this end, the openings of overflow pipes discharging overboard are as a rule to be placed above the deepest load waterline and are to be fitted where necessary with non-return valves on the plating, or, alternatively, overflow pipes from tanks are to be led to a point above the deepest load waterline.
e.  Where tanks alternately containing fuel oil and ballast water are connected to a common overflow system, arrangements are to be made to prevent the ballast water overflowing into the tanks containing fuel oil and vice-versa.
</t>
  </si>
  <si>
    <t>Overflow pipes - Design</t>
  </si>
  <si>
    <t xml:space="preserve">500 - The Builder shall have equipment suppliers’ sign-off on design drawings for systems that interface with any supplied component, including but not limited to:
a. Fuel oil schematic;
b. Cooling schematic,
c. Engine room ventilation;
d. Deck heating system;
e. Shafting arrangement; and
f. Machinery arrangement; etc.
</t>
  </si>
  <si>
    <t>741</t>
  </si>
  <si>
    <t xml:space="preserve">322 
330 
371 
741 </t>
  </si>
  <si>
    <t xml:space="preserve">233.1 - All diesel engines should be fitted with heaters capable of raising operating liquids from the minimum ambient temperature to the temperature recommended by engine manufacturer.
</t>
  </si>
  <si>
    <t>Engines - Heat exchangers</t>
  </si>
  <si>
    <t>Engines - Pre-heating</t>
  </si>
  <si>
    <t>Engines - Temperatures</t>
  </si>
  <si>
    <t xml:space="preserve">256 - Heat exchangers shall maintain jacket water outlet temperature and lubricating oil temperature in accordance with the manufacturer's recommendation.
</t>
  </si>
  <si>
    <t>Engines - Coolant transfer system &amp; storage tanks</t>
  </si>
  <si>
    <t>256 - The ship shall be fitted with a clean engine coolant storage tank and a dirty engine coolant storage tank. Each tank shall be capable of holding two complete coolant changes for the largest engine onboard.
The clean engine coolant tank shall be fitted with a system for filling each engine coolant header tank, and a filling system connecting to a filling connection on the Vehicle Deck.
The dirty engine cooling tank shall be fitted with the gravity drain system capable of draining the engine coolant from each engine, and a discharge system, with a discharge connection on the Vehicle Deck. The ship shall also be fitted with an additional tank, for temporary storage of engine/keel cooler coolant while maintenance is being performed on the engine/keel cooler.</t>
  </si>
  <si>
    <t>330</t>
  </si>
  <si>
    <t>331</t>
  </si>
  <si>
    <t>332</t>
  </si>
  <si>
    <t>333</t>
  </si>
  <si>
    <t>340</t>
  </si>
  <si>
    <t>341</t>
  </si>
  <si>
    <t>342</t>
  </si>
  <si>
    <t>344</t>
  </si>
  <si>
    <t>345</t>
  </si>
  <si>
    <t>346</t>
  </si>
  <si>
    <t>352</t>
  </si>
  <si>
    <t>353</t>
  </si>
  <si>
    <t xml:space="preserve">330 
361 </t>
  </si>
  <si>
    <t xml:space="preserve">644.3 - A fixed eye/face wash fountain shall be provided and located in each Machinery Space, and in any battery compartments and in the Cleaning Gear Stores. As a minimum there shall be at least two fixed eye/face wash fountains on the vessel. Service shall be taken from a cold potable water supply.
</t>
  </si>
  <si>
    <t>Eye wash</t>
  </si>
  <si>
    <t xml:space="preserve">644.4 - Drinking water fountains with self-contained cooling units and water bottle filling facilities (such as that shown in Figure 644-1) shall be provided and located as follows:
a. One (1) in the Crew Room;
b. One (1) in the Pilot House(s); and
10 c. One (1) in a Machinery Space and adjacent to the ECR.
</t>
  </si>
  <si>
    <t xml:space="preserve">645.1 - TABLE 651-2 NOTIONAL CREW ROOM FURNISHINGS
Quantity Description
1 Double sink with hot and cold water
</t>
  </si>
  <si>
    <t xml:space="preserve">652 - The first aid room shall have a berth, and a sink and a locked medicine cabinet.
</t>
  </si>
  <si>
    <t xml:space="preserve">655 - TABLE 655-1 LAUNDRY  EQUIPMENT
Quantity Item Description
1 Washer in engine room Commercial grade, non-coin operated,
front loading, size TBC by Owner ACA
1 Cabinet, stowage 
1 Service sink next to washer Double Stainless steel
</t>
  </si>
  <si>
    <t xml:space="preserve">663.1 - TABLE 663-1 PILOT HOUSE FURNISHINGS
Quantity Item Description
1 Small sink with hot and cold water.
</t>
  </si>
  <si>
    <t xml:space="preserve">672.2 - The Cleaning Gear Storeroom shall be provided with a deep service sink.
</t>
  </si>
  <si>
    <t xml:space="preserve">672.2 - The Cleaning Gear Storerooms shall be heated and have hot and cold freshwater.
</t>
  </si>
  <si>
    <t xml:space="preserve">645.2 - An area shall be provided to hang wet weather gear, with a saveall and drain to contain any water dripping from the weather gear.
</t>
  </si>
  <si>
    <t xml:space="preserve">593.2 - A well thought out waste management plan shall be developed so that this vessel can prevent, control, or minimize all discharge of garbage and other wastes to the lake.
The Builder shall provide all the necessary features and equipment to ensure the ship:
a. Can operate in its intended operating environment without causing adverse environmental impacts;
b. Complies with all applicable national, international and regulatory body environmental regulations;
c. Protects the health and safety of embarked personnel; and
d. Sustains minimal logistic and life cycle management costs for waste management.
Discharges of ship’s engine exhaust, vehicle exhaust from the Vehicle Deck, sewage system vents, fume hoods, and ventilation exhaust systems shall be designed so they do not re-enter the ship’s interior or ventilation systems.
</t>
  </si>
  <si>
    <t>Bunker stations</t>
  </si>
  <si>
    <t xml:space="preserve">504.2 - In addition, to the requirements specified in Appendix F, the following shall be provided:
a. High and low level alarms shall be provided for fuel tanks, waste oil tanks, lubrication oil storage tank, oily waste holding tank, sewage tanks, and ballast tanks.
b. High-high alarms shall be provided for fuel tanks, sewage tanks, and oil tanks.
c. The high and low level sensors shall be integrated into the appropriate tank level-indicating unit.
</t>
  </si>
  <si>
    <t xml:space="preserve">504.2 - A tank level indicating system shall be provided. All tanks shall be equipped for local sounding and provided with TLIs, except for potable water tanks, which shall be equipped with TLIs and gauge glasses.
Outputs from the tank level transmitters shall provide input into the IMCS. Readouts for the tanks shall be available at all IMCS consoles, and locally at the site where filling and emptying is controlled for each tank.
The tank level transmitters shall be capable of being serviced without entering the tank.
</t>
  </si>
  <si>
    <t xml:space="preserve">262.1 - An independent fill and transfer system shall be provided for each grade of lubrication oil required. Each lubrication oil fill and transfer system shall provide:
a. Transfer of new oil to engine from storage tanks; using the clean lubrication oil transfer pump;
b. Transfer of waste oil from engine to Waste Oil Tank; using the oily waste transfer pump;
c. Filling of storage tanks or sumps from barrels or shore connection;
d. Discharge of waste oil from tanks to shore.
e. All storage tanks shall have manual draw-off valves.
f. Engine pre-lubrication pump, if not provided by the engine manufacturer.
</t>
  </si>
  <si>
    <t xml:space="preserve">262.1 - Separate connections shall be provided for lubrication oil fill and discharge and for used oil discharge to shore.
</t>
  </si>
  <si>
    <t>Lubrication transfer systems</t>
  </si>
  <si>
    <t>672.5 - A Pollution Equipment Room, for stowage of oil containment equipment, shall be located on the vehicle deck. The room shall be sized to contain the following pollution abatement equipment:
a.      Oil Only Sorbent Booms - 5" x 10' Enough to encircle the vessel + 10%;
b. 205-litre container of oil absorbent material “OIL DRI®”;
c. 2 push style brooms;
d. 2 Shovel square;
e. 2 bundles of 60cm x 60cm oil absorbent pads;
f. Storage for 4 pairs of disposable coveralls;
g. 4 pairs of safety glasses; and
h.    4 pairs of Nitrile gloves.
The compartment shall not be less than 6 square metres of deck area.</t>
  </si>
  <si>
    <t xml:space="preserve">663.3 - The CCR must be well lit, environmentally controlled as per a habitable space and well ventilated. It shall have adequate power supply for equipment + 25% excess capacity for future expansion.
</t>
  </si>
  <si>
    <t xml:space="preserve">663.2 - The ECR shall be air conditioned.
</t>
  </si>
  <si>
    <t xml:space="preserve">672.3 - The ship shall have two heated machinery store rooms 
</t>
  </si>
  <si>
    <t>Readings and alarm points</t>
  </si>
  <si>
    <t xml:space="preserve">Appendix F
The following readings and alarm points shall be provided in the IMCS in addition to those required by the Classification Society for the specified notations, or stated elsewhere in this specification.
Readings:
5 Desired readings are described as one of the following:
1. Visible Scale – meaning a visible scale showing the actual reading in relation to the entire scale of possible readings
2. Numerical Reading – meaning that a number displaying the actual reading is provided
3. Condition State – meaning a display of the actual state, for example ON or OFF.
</t>
  </si>
  <si>
    <t xml:space="preserve">Appendix F
Type Description Reading Alarms
Tank Bilges Condition State high/low
Tank Fresh/potable water tank Visible Scale high/low
Tank Void tanks Condition State high
Tank Deck Hydraulic pump tanks Visible Scale high/low
Tank Deck Hydraulic temp Visible Scale high
Tank Deck Hydraulic pressure Visible Scale high/low
Tank Sludge Condition State High
Tank Waste oil tank Visible Scale high/low
Prime Mover Hours to oil change Numerical N/A
Prime Mover Oil pressure Visible Scale high/low
Prime Mover Coolant pressure Visible Scale high/low
Prime Mover Raw/seawater pressure Visible Scale high/low
Prime Mover Oil temp Visible Scale high
Prime Mover Coolant Temp Visible Scale high
Prime Mover Raw/seawater Visible Scale temp
Prime Mover Fuel pressure Visible Scale high/low
Prime Mover Coolant level Condition State low
Prime Mover Coolant expansion tank Condition State low
Prime Mover Turbo pressure Visible Scale high/low
Prime Mover Turbo after cooler temp Visible Scale high
Prime Mover Exhaust temp Visible Scale high
Prime Mover Engine run/off Condition State N/A
Prime Mover Over speed Condition State N/A
Prime Mover Hour meter Numerical N/A
Prime Mover Engine RPM Numerical N/A
Prime Mover Fuel used, fuel rate, fuel
economy Numerical N/A
Prime Mover Fuel return rate and temp Numerical N/A
Prime Mover Engine control voltage Numerical high/low
</t>
  </si>
  <si>
    <t xml:space="preserve">Appendix F
Electrical Gen voltages Numerical high/low
Electrical Gen current Numerical high/low
Electrical Cycles/frequency Numerical high/low
Electrical Shore power voltage and
current Numerical high/low
Electrical Shore power connection Condition State On/off
Electrical Battery  chargers/rectifiers
outputs voltages Numerical high/low
Electrical Engine/prime mover control
voltage Numerical high/low
Electrical Propulsion control voltage Numerical high/low
Electrical Navigation supply voltage Numerical high/low
Electrical Shore power breaker closed
open Condition State N/A
Electrical Gen AC open close Condition State N/A
Electrical Fire alarm and location Condition State N/A
Electrical Air compressor on off Condition State N/A
Air compressor Air receiver pressure and
working pressure Visible Scale high/low
Water tight
door conditions Open/closed Condition State N/A
Environmental Indoor temperatures (ER,
machinery spaces, WH, crew spaces, passenger cabins) Numerical high/low
Environmental Outdoor temp Numerical N/A
Environmental Water temp Numerical N/A
Environmental Speed through water Numerical N/A
Environmental Wind direction and speed Numerical N/A
</t>
  </si>
  <si>
    <t xml:space="preserve">663.3 - Cable trays shall be located above the rack(s), and all cabling must be properly labelled and identified, and all connections must be via locked plugs.
</t>
  </si>
  <si>
    <t>640.2 - Lighting shall be in accordance with Section 330.</t>
  </si>
  <si>
    <t xml:space="preserve">551 - The system shall also have the capability of providing compressed air for the injection of urea into the vessel’s exhaust system if required to meet emissions regulations.
</t>
  </si>
  <si>
    <t>Urea injection</t>
  </si>
  <si>
    <t xml:space="preserve">622 
380 </t>
  </si>
  <si>
    <t xml:space="preserve">551 - All pressure relief valves shall be capable of being tested for proper actuation under the correct pressure.
</t>
  </si>
  <si>
    <t xml:space="preserve">551 - Air compressors shall be equipped for automatic load-less starting. In addition, compressors shall be equipped with automatic pressure operated control switches, check valves, pressure relief valves and stop valves. Compressors shall be designed to operate continuously at rated flow.
</t>
  </si>
  <si>
    <t>Suction tailpipes</t>
  </si>
  <si>
    <t>Removability</t>
  </si>
  <si>
    <t>Supporting long lengths</t>
  </si>
  <si>
    <t>Protection against damage</t>
  </si>
  <si>
    <t>Hull piping</t>
  </si>
  <si>
    <t>Bilging machinery spaces</t>
  </si>
  <si>
    <t xml:space="preserve">311 
330 </t>
  </si>
  <si>
    <t>Drainage of coolant</t>
  </si>
  <si>
    <t>Drains from  refrigerated spaces</t>
  </si>
  <si>
    <t>Diameters according Rules</t>
  </si>
  <si>
    <t>Diameter main bilge</t>
  </si>
  <si>
    <t>Diameter branch bilge</t>
  </si>
  <si>
    <t>Diameter shaft tunnel</t>
  </si>
  <si>
    <t>Diameter main and branch bilge</t>
  </si>
  <si>
    <t>Cargo hold branches</t>
  </si>
  <si>
    <t>Diameter distribution manifold pipes</t>
  </si>
  <si>
    <t>Diameter direct bilge</t>
  </si>
  <si>
    <t>Arrangement direct / emergency bilge pipes</t>
  </si>
  <si>
    <t>Bilge pump priming</t>
  </si>
  <si>
    <t>Minimum velocity</t>
  </si>
  <si>
    <t>Bilge pump simultaneous operation</t>
  </si>
  <si>
    <t>Other pumps as bilge pump</t>
  </si>
  <si>
    <t>Location emergency bilge pump</t>
  </si>
  <si>
    <t>Bilge pump relief valves</t>
  </si>
  <si>
    <t>Direct bilge</t>
  </si>
  <si>
    <t>Number of bilge pumps</t>
  </si>
  <si>
    <t>Bilge pump drive</t>
  </si>
  <si>
    <t>Bilge pump availability in all flooding conditions</t>
  </si>
  <si>
    <t>Bilge pump capacity dividing</t>
  </si>
  <si>
    <t>Bilge pump capacity per diameter</t>
  </si>
  <si>
    <t>Location bilge pumps</t>
  </si>
  <si>
    <t>Manual bilge pumps</t>
  </si>
  <si>
    <t>Overboard from condenser</t>
  </si>
  <si>
    <t>Open end outboard B/5</t>
  </si>
  <si>
    <t>Bilge pump or its connecting pipe outboard B/5</t>
  </si>
  <si>
    <t>Main bilge pipe inboard B/5</t>
  </si>
  <si>
    <t>Flooding by collision or grounding</t>
  </si>
  <si>
    <t>Bilge arrangement</t>
  </si>
  <si>
    <t>Emergency bilge pumping system</t>
  </si>
  <si>
    <t>Cross-flooding - Self acting</t>
  </si>
  <si>
    <t>Cross-flooding - Controls</t>
  </si>
  <si>
    <t>Vent pipes for tanks fitted with cross-flooding</t>
  </si>
  <si>
    <t xml:space="preserve">XV-II 1 General arrangement and location of bilge, ballast, heeling, trimming and passive roll stabilizing systems, including venting, overflow and sounding arrangements, showing all connected piping, valves, pumps and equipment, emergency systems and cross-connections to other fluid systems.
</t>
  </si>
  <si>
    <t>XV-I-II 001 - Water shall be prevented from inadvertently passing from
(a) water-containing spaces or the sea into cargo or machinery spaces; or
(b) from one compartment to another.
XV-I-II 002 - Piping systems shall be arranged as follows:
(a) the bilge pipe connection to a pump that has suction from the sea shall include either a screw-down non-return valve or a cock that cannot be open to the bilges and to the water-containing spaces or the sea at the same time; and
(b) an arrangement of lock-up valves or blank flanges shall be provided to prevent any deep tank from being inadvertently filled from the sea when containing cargo or pumped out through a bilge pipe when containing ballast water and explanatory notices shall be conspicuously displayed near the components involved.</t>
  </si>
  <si>
    <t xml:space="preserve">XV-I-II 071 - Where the forepeak and afterpeak are not used as tanks and power bilge pumping system suction pipes are not fitted, pumping of both peaks may be effected by manual pumps if the suction lift is within the capacity of the pumps and does not exceed 7.5 m in height.
XV-I-II 072 - The collision bulkhead may be pierced by pipes for tank filling and emptying purposes but no open-ended drain valve or cock shall be fitted.
XV-I-II 073 - The pipes referred to in item 72 shall be provided with screw-down valves that are secured to the bulkhead inside the forepeak and that are
(a) capable of being operated from an accessible location above the bulkhead deck; and
(b) clearly identified with an indication of their operational status.
XV-I-II 074 - In ships certificated to carry 12 passengers or less, valves referred to in item 73 may be fitted on the aft side of the collision bulkhead and the valves are not required to be capable of remote control if
(a) they are readily accessible at all times; and
(b) the space in which they are located is not a cargo space.
XV-I-II 075 - No open-ended drain valve or cock shall be fitted to any watertight division where alternative means of drainage are practicable.
</t>
  </si>
  <si>
    <t xml:space="preserve">XV-I-II 076 - Where fitted, open-ended drain valves and cocks shall be
(a) readily accessible at all times;
(b) capable of being shut-off from locations above the bulkhead deck; and
(c) clearly identified with an indication of their operational status.
XV-I-II 077 - Valves, cocks, pipes or other components attached directly to the plating of tanks and to watertight divisions shall be secured by
(a) screwing studs through the plating;
(b) using screwed bolts and not by bolts passing through clearance holes; or
(c) welding the studs or the bulkhead piece to the plating.
</t>
  </si>
  <si>
    <t xml:space="preserve">XV-I-II 013 - Provision for expansion of pipes shall be made and within tanks expansion bends only shall be fitted.
</t>
  </si>
  <si>
    <t xml:space="preserve">XV-I-II 022 - One of the suction pipes shall be a branch bilge suction pipe leading from the main bilge suction pipe and the other shall be a direct bilge suction pipe leading directly from an independent power pump that may be used independently of the main bilge suction piping system.
XV-I-II 031 - Where the main propulsion system is electrical, means shall be provided to prevent accumulation of bilge-water under the main propulsion generators and motors.
</t>
  </si>
  <si>
    <t xml:space="preserve">XV-I-II 041 - In addition to the bilge suction pipes required for normal bilge pumping referred to in items 21 to 40, every machinery space shall be fitted with an emergency bilge suction pipe which pipe shall be
(a) led to the main cooling-water pump from a suitable drainage level in the machinery space; and
(b) fitted with a screw-down non-return valve that has a spindle extended so that the hand wheel is not less than 460 mm above the bottom platform.
XV-I-II 042 - Where two or more cooling-water pumps are provided, each capable of supplying cooling water for normal propulsion power, only one pump is required to be fitted with an emergency bilge suction pipe.
XV-I-II 043 - In non steam-propelled ships the emergency bilge suction pipe shall have the same diameter as the cooling-water suction pipe connection to the pump.
XV-I-II 044 - Where the main cooling-water pump referred to in subitem 41(a) is less suitable than other available pumps for bilge pumping duties, an emergency bilge suction pipe separate from, and additional to, any other required bilge suction pipe shall be fitted to draw water from the drainage level of a machinery space, and shall
(a) lead to the largest available independent power pump; and
(b) have the same diameter as the largest suction pipe connection to the pump referred to in subitem (a).
XV-I-II 045 - Except in ships certificated to carry more than 12 passengers, a direct bilge suction pipe on the same side of the ship as the emergency suction pipe may be omitted where the emergency bilge suction pipe is connected to a self-priming type of pump.
XV-I-II 046 - Emergency bilge suction valve name-plates shall be permanently marked “For emergency use only”.
</t>
  </si>
  <si>
    <t>XV-I-II 036 - Suction pipes for normal bilge pumping in machinery spaces and shaft tunnels shall lead from easily accessible mud boxes fitted with
(a) straight tailpipes to bilges; and
(b) covers that are secured in such a manner that they can be expeditiously opened and closed.
XV-I-II 037 - Subject to item 38, strainers shall not be fitted to the lower ends of tailpipes.
XV-I-II 038 - In the case of ships with open floors, strainers with an open area at least three times the area of the suction pipe may be fitted at the lower ends of tail pipes in lieu of mud boxes if the strainers can be fitted in readily accessible locations.
XV-I-II 039 - Bilge cocks, valves and mud boxes shall be fitted at or above the machinery space and shaft tunnel platforms.
XV-I-II 040 - Where it is not practicable to avoid locating bilge cocks, valves and mud boxes at the engine control platform or in passageways, the bilge cocks, valves and mud boxes may be situated just below the platform if readily removable traps or covers are fitted with name-plates indicating the presence of components.</t>
  </si>
  <si>
    <t>XV-I-II 036 - Suction pipes for normal bilge pumping in machinery spaces and shaft tunnels shall lead from easily accessible mud boxes fitted with
(a) straight tailpipes to bilges; and
(b) covers that are secured in such a manner that they can be expeditiously opened and closed.</t>
  </si>
  <si>
    <t xml:space="preserve">XV-I-II 112 - Subject to items 113 to 118 and to items 7 and 8 of Division VI, the internal diameter of main and branch bilge suction pipes shall be in accordance with rules or codes.
XV-I-II 113 - For all ships certificated to carry more than 12 passengers that have a subdivision load line, the diameter of the main bilge pipe shall not be less than that derived in accordance with the following formula, taken to the nearest 5 mm:    d = 1.68 VL(B + D) + 25mm
Lowercase d equals 25 millimeters plus 1.68 times the square root of the product of L times the sum of B and uppercase D
where
d is the internal diameter of the bilge pipe, in millimetres
L is the distance measured between perpendiculars of the ship taken at the extremities of the deepest subdivision load line, in metres
B is the breadth of the ship measured at the extreme width from outside of frame to outside of frame at or below the deepest subdivision load line, in metres
D is the moulded depth of the ship to the bulkhead deck, in metres
XV-I-II 114 - The internal diameter of the main bilge suction pipe shall not be less than that of any branch bilge suction pipe and for Group 1 and 2 ships the internal diameter of the main bilge suction pipe shall not be less than 60 mm.
XV-I-II 115 - The internal diameter of the branch bilge suction pipe shall not be less than 50 mm and is not required to be more than 100 mm except in the case of pumping from small spaces, where piping with a diameter of 35 mm or more may be used.
</t>
  </si>
  <si>
    <t xml:space="preserve">XV-I-1 116 - The internal diameter of the bilge suction pipe to the shaft tunnel well shall not be less than 60 mm except in ships not exceeding 61 m in length, where the internal diameter may not be less than 50 mm.
</t>
  </si>
  <si>
    <t xml:space="preserve">XV-I-II 118 For a Group 3 ship that has only one cargo hold, where the hold is over 30 m in length one branch suction pipe only may lead to each side of the after end of the cargo hold if the ship
(a) is certificated to operate solely on Inland Waters Class voyages;
(b) has double-bottom tanks under the full length and breadth of the cargo hold;
(c) has watertight longitudinal bulkheads on both sides of the hold that extend the full length of the hold and extend from the bottom of the ship to the freeboard deck; and
(d) is designed so that any water in the hold will drain to at least one of the suction pipes.
XV-I-II 119 The diameter of the branch suction pipe referred to in item 118 shall not be less than that derived in accordance with the following formula, taken to the nearest 5 mm:
Lowercase d equals 25 millimeters plus 2.16 times the square root of the product of C times the sum of B and uppercase D
where:
d is the internal diameter of the branch suction pipe, in millimetres
C is the length of the cargo hold, in metres
B is the greatest moulded breadth of the ship in metres
D is the moulded depth of the ship to freeboard deck, in metres.
</t>
  </si>
  <si>
    <t xml:space="preserve">XV-I-II 120 - Where the branch suction pipe referred to in item 118 is used only for the purpose of pumping from the cargo hold, it may be connected to the main bilge pipe or the main ballast pipe, but in such a case
(a) the internal diameter of the main pipe shall not be less than the diameter of the branch suction pipe;
(b) the appropriate power pump shall have the pumping capacity for the diameter of the main pipe as set out in the Table of Capacities to this Part; and
(c) the branch suction pipe shall be fitted with a screw-down non-return valve.
XV-I-II 121 - Where the branch suction pipe referred to in item 118 is used for the purpose of pumping from and filling the cargo hold, it shall be connected to the main ballast pipe, and in such case
(a) the internal diameter of the main ballast pipe shall not be less than the diameter of the branch suction pipe;
(b) the ballast pump shall have the pumping capacity for the diameter of the main ballast pipe as set out in the Table of Capacities to this Part; and
(c) the branch suction pipe shall be fitted with a screw lift valve and means to prevent the cargo hold from being inadvertently filled from the sea.
</t>
  </si>
  <si>
    <t>XV-I-II 003 - Screw-down non-return valves shall be fitted in the following components:
(a) bilge valve distribution manifolds;
(b) bilge suction hose connections, where fitted directly to the pump or to the main bilge suction pipe; and
(c) direct bilge suction pipes and bilge pump connections to the main bilge suction pipe.</t>
  </si>
  <si>
    <t xml:space="preserve">XV-I-II 058 &gt; Access to the bilge suction strainer of a bilge well shall not be by means of an opening in machinery space or shaft tunnel watertight divisions, except that where such an arrangement is necessary due to the design features and location of the bilge well, the watertight access opening cover shall be of the hinged type, and a permanent metal plate that bears a notice that the cover must be kept closed, except when access is necessary, shall be affixed in a well-lighted position.
XV-I-II 059 &gt; In ships certificated to carry more than 12 passengers, an access opening shall not pass through the machinery space or shaft tunnel watertight divisions.
XV-I-II 060 &gt; Subject to item 61, the integrity of machinery space or shaft tunnel watertight divisions shall not be impaired by fitting scupper pipe discharges into machinery spaces or shaft tunnels from adjacent compartments situated below the bulkhead deck.
</t>
  </si>
  <si>
    <t>XV-I-II 008 &gt; Ballast water shall not be carried in tanks intended for fuel oil unless required for the stability of the ship or other safety reasons.
XV-I-II 009 &gt; Where tanks, including passive roll-stabilizing tanks, are arranged for alternative carriage of oil, water or dry cargo, there shall be blank flanging or other suitable arrangements to prevent interconnection of pumping, overflow or liquid heating systems.</t>
  </si>
  <si>
    <t xml:space="preserve">XV-I-II 015 The distance between the lower end of all bilge suction tailpipes and the bottom of the bilge or well shall be adequate to allow a full flow of water and to facilitate cleaning.
</t>
  </si>
  <si>
    <t xml:space="preserve">XV-I-II 016 - Bilge and ballast suction and discharge pipes shall be made in readily removable lengths with flanged joints, except as prescribed in item 12, and shall be efficiently secured in position to prevent chafing or movement.
</t>
  </si>
  <si>
    <t xml:space="preserve">XV-I-II 017 - Long or heavy lengths of pipes shall be supported by bearers so that no undue load will be carried by the flanged connections of the pumps or fittings to which the flanged connections are attached.
</t>
  </si>
  <si>
    <t xml:space="preserve">XV-I-II 018 - Subject to subitem 9(c) of Division II of Part I of Schedule IX, pipes for bilge, ballast and similar systems shall be made of steel or other metallic material.
</t>
  </si>
  <si>
    <t xml:space="preserve">XV-I-II 019 - Piping, valves, mud boxes, strainers and extended spindles, where fitted, shall be protected against damage, particularly in cargo holds where spindles shall be encased.
</t>
  </si>
  <si>
    <t xml:space="preserve">XV-I-1 020 - Shipside connections shall be designed, constructed and installed in accordance with rules or codes and Schedule VII.
</t>
  </si>
  <si>
    <t xml:space="preserve">XV-I-II 026 - In ships certificated to carry more than 12 passengers, the machinery spaces bilge water drainage shall be such that the spaces, where practicable, can be pumped out after a casualty, whether the ship is upright or listed.
</t>
  </si>
  <si>
    <t xml:space="preserve">XV-I-II 029 - Where a considerable quantity of cooling water is discharged to the machinery space bilges, means shall be provided to deal with that water in addition to the normal bilge-pumping arrangements where the normal bilge-pumping capacity is inadequate to deal with the additional water.
</t>
  </si>
  <si>
    <t xml:space="preserve">XV-I-II 061 - Scupper pipes with valves and that lead from adjacent compartments may be fitted and lead into a strongly constructed scupper drain tank situated in a machinery space or tunnel.
XV-I-II 062  &gt; The scupper drain tank shall be entirely closed and shall be
(a) drained by means of a suction pipe leading from the main bilge pipe through a screw-down non-return valve; and
(b) vented from a position above the bulkhead deck.
XV-I-II 063 - Means shall be provided for determining the level of water in the scupper drain tank.
XV-I-II 064 &gt; Where one drain tank is used for the drainage of several watertight compartments, the scupper pipes shall be fitted with screw-down non-return valves.
</t>
  </si>
  <si>
    <t xml:space="preserve">XV-I-II 065 - Means shall be provided for the efficient drainage of the inside of all refrigerated spaces in accordance with rules or codes.
</t>
  </si>
  <si>
    <t xml:space="preserve">XV-I-II 066 - Means shall be provided for the drainage of the chain locker and watertight compartments above the forepeak tank by manual or power pumps.
</t>
  </si>
  <si>
    <t xml:space="preserve">XV-I-II 067 - Steering gear compartments or other small enclosed spaces situated above the afterpeak tank shall be provided with suitable means of drainage by manual or power pumps.
</t>
  </si>
  <si>
    <t xml:space="preserve">XV-I-II 068 - Where the compartments referred to in item 67 are adequately isolated from the adjacent ‘tween-decks, they may be drained by scupper pipes of not less than 35 mm internal diameter discharging to the shaft tunnel, or to machinery spaces in the case of ships with machinery aft, if the pipes are fitted with self-closing cocks situated in well-lighted and visible locations.
</t>
  </si>
  <si>
    <t>XV-I-II 069 - In ships certificated to carry more than 12 passengers, the scupper pipe arrangement referred to in item 68 shall not be fitted unless flooding calculations indicate that the safety of the ship will not be impaired.</t>
  </si>
  <si>
    <t xml:space="preserve">XV-I-1 070 - Where the forepeak and afterpeak are used as tanks, a separate power pump suction pipe shall lead to each tank, except that in the case of small tanks used for the carriage of domestic fresh water, manual pumps may be used.
</t>
  </si>
  <si>
    <t xml:space="preserve">XV-I-1 071 - Where the forepeak and afterpeak are not used as tanks and power bilge pumping system suction pipes are not fitted, pumping of both peaks may be effected by manual pumps if the suction lift is within the capacity of the pumps and does not exceed 7.5 m in height.
</t>
  </si>
  <si>
    <t xml:space="preserve">XV-I-II 072 - The collision bulkhead may be pierced by pipes for tank filling and emptying purposes but no open-ended drain valve or cock shall be fitted.
</t>
  </si>
  <si>
    <t xml:space="preserve">XV-I-II 073 - The pipes referred to in item 72 shall be provided with screw-down valves that are secured to the bulkhead inside the forepeak and that are
(a) capable of being operated from an accessible location above the bulkhead deck; and
(b) clearly identified with an indication of their operational status.
</t>
  </si>
  <si>
    <t>XV-I-II 074 - In ships certificated to carry 12 passengers or less, valves referred to in item 73 may be fitted on the aft side of the collision bulkhead and the valves are not required to be capable of remote control if
(a) they are readily accessible at all times; and
(b) the space in which they are located is not a cargo space.</t>
  </si>
  <si>
    <t xml:space="preserve">XV-I-II 075 - No open-ended drain valve or cock shall be fitted to any watertight division where alternative means of drainage are practicable.
</t>
  </si>
  <si>
    <t>XV-I-II 076 - Where fitted, open-ended drain valves and cocks shall be
(a) readily accessible at all times;
(b) capable of being shut-off from locations above the bulkhead deck; and
(c) clearly identified with an indication of their operational status.</t>
  </si>
  <si>
    <t xml:space="preserve">XV-I-II 077 - Valves, cocks, pipes or other components attached directly to the plating of tanks and to watertight divisions shall be secured by
(a) screwing studs through the plating;
(b) using screwed bolts and not by bolts passing through clearance holes; or
(c) welding the studs or the bulkhead piece to the plating.
</t>
  </si>
  <si>
    <t>XV-I-II 078 - Vent pipes shall be provided for tanks intended to contain liquid.</t>
  </si>
  <si>
    <t>XV-I-II 079 Vent pipes shall be arranged to be self-draining when the ship is on an even keel.</t>
  </si>
  <si>
    <t>XV-I-II 080 Vent pipes shall be arranged, and the upper part of tanks designed, so that air or gas can freely evacuate.</t>
  </si>
  <si>
    <t>XV-I-II 081 Vent pipes shall be fitted at the highest parts of the tanks and, where possible, opposite the filling pipes, when the ship is to be on an even keel.</t>
  </si>
  <si>
    <t>XV-I-II 082 When the tank top is of irregular form, the number and location of vent pipes shall be such as to permit the efficient ventilation of the tank.</t>
  </si>
  <si>
    <t>XV-I-II 083 Where only one vent pipe is provided, it shall not be used as a filling pipe.</t>
  </si>
  <si>
    <t>XV-I-II 084 Vent pipes from double-bottom tanks, deep tanks and other tanks that can be filled from the sea shall lead to above the freeboard deck.</t>
  </si>
  <si>
    <t>XV-I-II 085 Vent pipes from compartments such as cofferdams and from all tanks that can be pumped shall not lead to enclosed areas of the ship.</t>
  </si>
  <si>
    <t>XV-I-II 086 Means shall be provided to prevent over-pressure or a vacuum in the tanks when closing appliances are in place, by a hole approximately 10 mm in diameter, or other suitable means, in the closing appliance or vent pipe bend.</t>
  </si>
  <si>
    <t>XV-I-II 087 In each tank that is capable of being pumped up and in which no over-flow pipe is fitted, the total cross-section of vent pipes shall not be less than 1.25 times the cross-sectional area of the corresponding filling pipes and the internal diameter shall not be less than 50 mm.</t>
  </si>
  <si>
    <t xml:space="preserve">XV-I-II 088 Vent pipes from heeling or trimming pumping system tanks shall be of sufficient size to prevent the tanks from being subjected to a vacuum or over-pressure beyond the designed structural strength of the tanks when the systems are in operation.
</t>
  </si>
  <si>
    <t>XV-I-II 089 Permanent name-plates shall be attached to the upper part of vent pipes.</t>
  </si>
  <si>
    <t xml:space="preserve">XV-I-II 090 Where necessary, overflow pipes shall be fitted to prevent tanks from being subjected during filling operations to pressures greater than test pressures.
</t>
  </si>
  <si>
    <t xml:space="preserve">XV-I-II 091 Overflow pipes shall be fitted where the cross-section of the vent pipes is less than that set out for vent pipes in item 87.
</t>
  </si>
  <si>
    <t xml:space="preserve">XV-I-II 092 Overflow pipes shall have name-plates attached to the upper part and shall be led
(a) to areas other than enclosed areas of the ship; or
(b) to spaces provided with means for evacuating the liquid likely to escape accidentally from the overflow.
</t>
  </si>
  <si>
    <t xml:space="preserve">XV-I-II 093 Where overflow pipes from tanks containing the same liquid or from tanks each of which contains a different liquid are connected to a common piping system, provision shall be made to prevent any risk of intercommunication between the tanks while the tanks are being emptied or filled.
</t>
  </si>
  <si>
    <t xml:space="preserve">XV-I-II 094 Arrangements shall be made so that a tank cannot be flooded from the sea through the overflow pipe where another tank connected to the same overflow pipe system is bilged.
</t>
  </si>
  <si>
    <t xml:space="preserve">XV-I-II 095 Overflow piping systems shall be so arranged as to be self-draining when the ship is on an even keel.
</t>
  </si>
  <si>
    <t>XV-I-II 096 The internal diameter of overflow pipes shall not be less than 50 mm.</t>
  </si>
  <si>
    <t xml:space="preserve">XV-I-II 097 Means shall be provided for sounding all tanks and the bilges of those compartments which are not readily accessible and the soundings shall be taken as near to the suction pipes as practicable.
</t>
  </si>
  <si>
    <t xml:space="preserve">XV-I-II 098 Bilges of compartments that are not readily accessible shall be fitted with sounding pipes.
</t>
  </si>
  <si>
    <t xml:space="preserve">XV-I-II 099 Sounding pipes shall have an identifying name-plate attached to the upper end, be as straight as practicable, and if curved to suit the structure of the ship, the curvature shall be sufficiently easy to permit the ready passage of the sounding rod or chain.
</t>
  </si>
  <si>
    <t xml:space="preserve">XV-I-II 100 Suitable sounding devices may be used in lieu of sounding pipes for tank liquid level gauging if a supplementary means of manual sounding is provided.
</t>
  </si>
  <si>
    <t xml:space="preserve">XV-I-II 101 Subject to items 102 and 104, sounding pipes shall lead to locations above the bulkhead deck that are accessible at all times.
</t>
  </si>
  <si>
    <t xml:space="preserve">XV-I-II 102 In machinery spaces and shaft tunnels where it is not practicable to extend the sounding pipes from double-bottom tanks to above the bulkhead deck, short sounding pipes extending to readily accessible locations at the lowest working-level platform may be fitted.
</t>
  </si>
  <si>
    <t xml:space="preserve">XV-I-II 103 Short sounding pipes to water tanks shall be fitted with shut-off cocks or with screw caps attached to the pipes by chains.
</t>
  </si>
  <si>
    <t xml:space="preserve">XV-I-II 104 In ships certificated to carry more than 12 passengers, short sounding pipes may be fitted to cofferdams and double-bottom water tanks situated in the machinery spaces only and shall in all cases to be fitted with self-closing cocks.
</t>
  </si>
  <si>
    <t>XV-I-II 105 Sounding pipes with elbows shall not be fitted to deep tanks unless the pipes and elbows are situated within closed cofferdams or within tanks containing liquids similar to the liquids in the pipes and elbows, but sounding pipes with elbows may be fitted to tanks other than deep tanks and may be used for sounding compartment bilges if it is not practicable to lead sounding pipes directly to the tanks or compartments.</t>
  </si>
  <si>
    <t xml:space="preserve">XV-I-II 106 The elbows of sounding pipes shall be of heavy construction and adequately supported.
</t>
  </si>
  <si>
    <t xml:space="preserve">XV-I-II 107 In ships certificated to carry more than 12 passengers, sounding pipes with elbows shall not be fitted.
</t>
  </si>
  <si>
    <t xml:space="preserve">XV-I-II 108 Striking plates of adequate thickness and size shall be fitted under open-ended sounding pipes.
</t>
  </si>
  <si>
    <t xml:space="preserve">XV-I-II 109 Where slotted sounding pipes having closed ends are used, the closing plugs shall be of heavy construction.
</t>
  </si>
  <si>
    <t>XV-I-II 110 The internal diameter of sounding pipes shall be not less than 30 mm.</t>
  </si>
  <si>
    <t>XV-I-II 111 All sounding pipes for compartments or tanks that pass through refrigerated spaces, or the insulation thereof, and in which the temperature is 0°C or below, shall be suitably insulated and the internal diameter of the pipes shall not be less than 65 mm.</t>
  </si>
  <si>
    <t>XV-I-II 112 Subject to items 113 to 118 and to items 7 and 8 of Division VI, the internal diameter of main and branch bilge suction pipes shall be in accordance with rules or codes.</t>
  </si>
  <si>
    <t xml:space="preserve">XV-I-II 113 For all ships certificated to carry more than 12 passengers that have a subdivision load line, the diameter of the main bilge pipe shall not be less than that derived in accordance with the following formula, taken to the nearest 5 mm:
d = 1.68 . √ L (B + D) + 25
where
d is the internal diameter of the bilge pipe, in millimetres
L is the distance measured between perpendiculars of the ship taken at the extremities of the deepest subdivision load line, in metres
B is the breadth of the ship measured at the extreme width from outside of frame to outside of frame at or below the deepest subdivision load line, in metres
D is the moulded depth of the ship to the bulkhead deck, in metres.
</t>
  </si>
  <si>
    <t xml:space="preserve">XV-I-II 114 The internal diameter of the main bilge suction pipe shall not be less than that of any branch bilge suction pipe and for Group 1 and 2 ships the internal diameter of the main bilge suction pipe shall not be less than 60 mm.
</t>
  </si>
  <si>
    <t xml:space="preserve">XV-I-II 115 The internal diameter of the branch bilge suction pipe shall not be less than 50 mm and is not required to be more than 100 mm except in the case of pumping from small spaces, where piping with a diameter of 35 mm or more may be used.
</t>
  </si>
  <si>
    <t>XV-I-II 116 The internal diameter of the bilge suction pipe to the shaft tunnel well shall not be less than 60 mm except in ships not exceeding 61 m in length, where the internal diameter may not be less than 50 mm.</t>
  </si>
  <si>
    <t xml:space="preserve">XV-I-II 117 Notwithstanding item 114, for ships not exceeding 31 m in length certificated to operate on Minor Waters, Inland Waters Class II or Home Trade Class IV voyages, the diameter of the main and branch bilge suction pipes may be reduced by 20 per cent below the diameter determined in accordance with item 112, but the internal diameter shall not be less than 35 mm.
</t>
  </si>
  <si>
    <t xml:space="preserve">XV-I-II 118 For a Group 3 ship that has only one cargo hold, where the hold is over 30 m in length one branch suction pipe only may lead to each side of the after end of the cargo hold if the ship
(a) is certificated to operate solely on Inland Waters Class voyages;
(b) has double-bottom tanks under the full length and breadth of the cargo hold;
(c) has watertight longitudinal bulkheads on both sides of the hold that extend the full length of the hold and extend from the bottom of the ship to the freeboard deck; and
(d) is designed so that any water in the hold will drain to at least one of the suction pipes.
</t>
  </si>
  <si>
    <t xml:space="preserve">XV-I-II 119 The diameter of the branch suction pipe referred to in item 118 shall not be less than that derived in accordance with the following formula, taken to the nearest 5 mm:
d = 2.16 . √ C (B + D) + 25
where:
d is the internal diameter of the branch suction pipe, in millimetres
C is the length of the cargo hold, in metres
B is the greatest moulded breadth of the ship in metres
D is the moulded depth of the ship to freeboard deck, in metres.
</t>
  </si>
  <si>
    <t>XV-I-II 120 Where the branch suction pipe referred to in item 118 is used only for the purpose of pumping from the cargo hold, it may be connected to the main bilge pipe or the main ballast pipe, but in such a case
(a) the internal diameter of the main pipe shall not be less than the diameter of the branch suction pipe;
(b) the appropriate power pump shall have the pumping capacity for the diameter of the main pipe as set out in the Table of Capacities to this Part; and
(c) the branch suction pipe shall be fitted with a screw-down non-return valve.</t>
  </si>
  <si>
    <t>XV-I-II 121 Where the branch suction pipe referred to in item 118 is used for the purpose of pumping from and filling the cargo hold, it shall be connected to the main ballast pipe, and in such case
(a) the internal diameter of the main ballast pipe shall not be less than the diameter of the branch suction pipe;
(b) the ballast pump shall have the pumping capacity for the diameter of the main ballast pipe as set out in the Table of Capacities to this Part; and
(c) the branch suction pipe shall be fitted with a screw lift valve and means to prevent the cargo hold from being inadvertently filled from the sea.</t>
  </si>
  <si>
    <t xml:space="preserve">XV-I-II 122 The cross-sectional area of each pipe connecting the main bilge pipe to a bilge distribution manifold shall not be less than the sum of the cross-sectional areas of the two largest branch bilge suction pipes connected to the manifold, but need not be greater than the cross-sectional area of the main bilge pipe.
</t>
  </si>
  <si>
    <t>XV-I-II 123 Subject to item 124, the diameter of direct bilge suction pipes in machinery spaces, other than emergency suction pipes, shall have a diameter not less than the diameter of the main bilge pipe.</t>
  </si>
  <si>
    <t xml:space="preserve">XV-I-II 124 For Group 3 ships, where direct bilge suction pipes lead to both sides of the ship for normal bilge pumping, one suction pipe shall be of a size not less than that of the main bilge pipe and the other suction pipe may be of the size of the machinery space branch bilge suction pipe, but the smaller suction pipe shall be fitted on the same side as the emergency bilge suction pipe.
</t>
  </si>
  <si>
    <t xml:space="preserve">XV-I-II 125 All power pumps essential for bilge pumping shall be of the self-priming type unless a central priming system is provided for those pumps.
</t>
  </si>
  <si>
    <t xml:space="preserve">XV-I-II 126 Each power bilge pump shall be capable of giving a flow rate of water through the required main bilge pipe of not less than 2 m/s as set out in the Table of Capacities to this Part.
</t>
  </si>
  <si>
    <t xml:space="preserve">XV-I-II 127 Bilge pumps may be used as fire pumps if the simultaneous operation of bilge-pumping systems and fire-pumping systems is not compromised.
</t>
  </si>
  <si>
    <t xml:space="preserve">XV-I-II 128 Sanitary, ballast and general service pumps may be used as independent power bilge pumps if they are fitted with the necessary connections for bilge pumping.
</t>
  </si>
  <si>
    <t>XV-I-II 129 No emergency bilge pump shall be installed forward of the collision bulkhead.</t>
  </si>
  <si>
    <t xml:space="preserve">XV-I-II 130 Pumps required for essential services shall not be connected to a common suction manifold, a common suction pipe, a common discharge manifold or a common discharge pipe unless the arrangements are such that the working of any pump so connected will not be affected by any other pumps operating at the same time.
</t>
  </si>
  <si>
    <t>XV-I-II 131 Bilge pumps shall have isolating valves so that any one pump may continue to operate when another pump is dismantled.</t>
  </si>
  <si>
    <t xml:space="preserve">XV-I-II 132 Where relief valves are fitted to bilge pumps that have sea connections, those valves and their outlets shall be fitted in readily visible locations above the lowest working-level platform.
</t>
  </si>
  <si>
    <t xml:space="preserve">XV-I-II 133 In ships certificated to carry more than 12 passengers, power bilge pumps located in spaces other than machinery spaces are required to have separate direct suction pipes unless the size of the other spaces does not warrant such pipes.
</t>
  </si>
  <si>
    <t xml:space="preserve">XV-I-IV 1 The main bilge pipe shall be connected to
(a) at least three power pumps, where the Criterion of Service Numeral for the ship, as determined pursuant to the Hull Construction Regulations, is less than 30; or
(b) at least four power pumps, where the Criterion of Service Numeral for the ship, as determined pursuant to the Hull Construction Regulations, is 30 or more.
</t>
  </si>
  <si>
    <t xml:space="preserve">XV-I-IV 2 One of the power pumps referred to in item 1 may be directly driven by a main propulsion engine.
</t>
  </si>
  <si>
    <t xml:space="preserve">XV-I-IV 3 In ships of less than 91.5 m in length certificated to operate on Minor Waters Class I voyages, the number of pumps set out in item 1 may be reduced by one.
</t>
  </si>
  <si>
    <t xml:space="preserve">XV-I-V 1 In ships of 91.5 m or more in length, or that have a Criterion of Service Numeral for the ship, as determined pursuant to the Hull Construction Regulations, of 30 or more, the bilge pumping system shall have at least one power pump available for use in all flooding conditions the ship is designed to withstand.
</t>
  </si>
  <si>
    <t xml:space="preserve">XV-I-V 2 The requirement of item 1 is met where
(a) one of the power pumps is an emergency pump of a submersible type having a source of power and controls located above the bulkhead deck; or
(b) the pumps and their sources of power are so disposed throughout the length of the ship that under any flooding conditions that the ship is designed to withstand at least one power pump in an undamaged compartment is operable.
</t>
  </si>
  <si>
    <t>XV-I-V 3 Controls referred to in subitem 2(a) shall be clearly identified and an indication of their operational status at the remote control location given, and where extended spindles are used for valves, the spindles shall lead as directly as possible to the remote control location.</t>
  </si>
  <si>
    <t xml:space="preserve">XV-I-V 4 Where the ship is not a Safety Convention ship, one power pump, other than the emergency pump, with a pumping capacity of not less than 70 per cent of the capacity set out in the Table of Capacities to this Part may be used where the deficiency in pumping capacity is made up by the excess capacity in the other power pumps.
</t>
  </si>
  <si>
    <t xml:space="preserve">XV-I-V 5 The required power pump capacity in m3 per hour for a given internal diameter in millimetres of main bilge pipes is set out in the Table of Capacities to this Part.
</t>
  </si>
  <si>
    <t xml:space="preserve">XV-I-V 6 Where practicable, the power bilge pumps shall be placed in separate watertight compartments so arranged or situated that those compartments will not readily be flooded by the same casualty.
</t>
  </si>
  <si>
    <t xml:space="preserve">XV-I-V 7 Where the engines and boilers are in two or more watertight compartments, the pumps available for bilge service shall be distributed throughout the compartments to the extent possible.
</t>
  </si>
  <si>
    <t>XV-I-V 8 Manual bilge pumps, where fitted, shall be operable from above the bulkhead deck and shall be so arranged that the components can be withdrawn for examination and overhaul during flooding.</t>
  </si>
  <si>
    <t>XV-I-V Where two manual pumps are fitted, a shut-off valve or cock operated from above the bulkhead deck, or non-return valves, shall be fitted to enable one of the pumps to be dismantled without the efficiency of the other being affected.</t>
  </si>
  <si>
    <t>XV-I-V 10 In coal-burning ships where there is no watertight bulkhead between the engine room and the boiler room, a direct discharge overboard shall be fitted from at least one condenser circulating water pump, or a condenser by-pass shall be fitted to the circulating water pipeline.</t>
  </si>
  <si>
    <t xml:space="preserve">XV-I-V 11 The main bilge pipe shall be arranged so that no part is situated nearer the side of the ship than the B/5 line where B is the breadth of the ship measured at right angles to the centre line at the level of the deepest subdivision load line or deep load line where a subdivision load line is not assigned.
</t>
  </si>
  <si>
    <t xml:space="preserve">XV-I-V 12 Where any bilge pump or its connecting pipe to the main bilge pipe is situated outboard of the B/5 line,
(a) a non-return valve shall be fitted in the connecting pipe at the junction with the main bilge pipe; and
(b) the emergency bilge pump and its connections to the main bilge pipe shall be arranged so that they are situated inboard of the B/5 line.
</t>
  </si>
  <si>
    <t xml:space="preserve">XV-I-V 13 Means shall be provided to prevent the compartment served by any bilge suction pipe from being flooded in the event of the pipe being severed or otherwise damaged in any other compartment by collision or grounding.
</t>
  </si>
  <si>
    <t xml:space="preserve">XV-I-V 14 For the purpose of item 13, where any part of a bilge suction pipe is situated outboard of the B/5 line or in a duct keel, a non-return valve shall be fitted to the pipe in the compartment containing an open end.
</t>
  </si>
  <si>
    <t xml:space="preserve">XV-I-V 15 All distribution boxes, cocks and valves in bilge pumping systems shall be
(a) in locations that are accessible at all times under normal circumstances; and
(b) so arranged that one of the bilge pumps is capable of pumping out any compartment during flooding conditions.
</t>
  </si>
  <si>
    <t xml:space="preserve">XV-I-V 16 Where there is only one system of pipes common to all the bilge pumps, the necessary cocks or valves for controlling the bilge suction shall be operable from above the bulkhead deck.
</t>
  </si>
  <si>
    <t xml:space="preserve">XV-I-V 17 Where, in addition to the main bilge pumping system, an emergency bilge pumping system is fitted,
(a) the emergency system shall be
(i) independent of the main system, and
(ii) so arranged that a pump is capable of pumping out any compartment during flooding; and
(b) only the cocks and valves necessary for the operation of the emergency system are required to be capable of being operated from above the bulkhead deck.
</t>
  </si>
  <si>
    <t xml:space="preserve">XV-I-V 18 Remote controls for cocks and valves referred to in subitem 17(b) shall lead as directly as possible to the remote control location and shall be clearly identified at the upper end and an indication of their operational status given.
</t>
  </si>
  <si>
    <t>XV-I-V 19 Where divided deep tanks or side tanks are provided with cross-flooding arrangements to limit the angle of heel after side damage, the arrangements shall be self-acting where practicable.</t>
  </si>
  <si>
    <t xml:space="preserve">XV-I-V 20 In the case where cross-flooding controls are necessary, such controls shall be clearly identified and shall be operable from above the bulkhead deck.
</t>
  </si>
  <si>
    <t xml:space="preserve">XV-I-V 21 The size of vent pipes for tanks fitted with cross-flooding connections shall be determined by the size of the cross-flooding connections.
</t>
  </si>
  <si>
    <t>XV-I-V 22 There shall be no closing appliance on vent pipes of tanks fitted with cross-flooding connections.</t>
  </si>
  <si>
    <t>Information Required</t>
  </si>
  <si>
    <t xml:space="preserve">XV-II 2 Installation details stating assigned working pressures and flow rates of fluid and, where applicable, the Criterion of Service Numeral of the ship, as determined pursuant to the Hull Construction Regulations.
</t>
  </si>
  <si>
    <t>XV-II 4 Details of
(a) pipe connections to flanges or other joining arrangements;
(b) securing arrangements for pumps, piping and other components and allowances for vibration;
(c) cross connection with other systems;
(d) remote control of valves in systems; and
(e) components preventing the discharge overboard of harmful substances.</t>
  </si>
  <si>
    <t xml:space="preserve">XV-II 5 Information set out in items 2 to 4 is not required to be submitted for ships not in excess of 18 m in length.
</t>
  </si>
  <si>
    <t xml:space="preserve">XV-II 6 Information for valves and similar minor components referred to in item 3 is not required to be submitted where a manufacturer or an approved classification society certifies that the types of valves or similar minor components have been designed and constructed in accordance with rules or codes.
</t>
  </si>
  <si>
    <t xml:space="preserve">XV-II 7 Information for pumps referred to in item 3 is not required to be submitted where an approved classification society certifies that the pumps have been designed and constructed in accordance with rules or codes except that the driving motor or engine of pumps shall meet the requirements of Part II of the applicable schedule of Schedules I to XV.
</t>
  </si>
  <si>
    <t xml:space="preserve">X-II 16 General arrangement of fresh and seawater cooling systems pumps, piping, valves and components including, as applicable, sea suction strainers, air vent piping, sea boxes, internal sea bays, keel coolers, ship structure tank coolers, make-up water tanks and means for draining systems that are susceptible to frost damage.
</t>
  </si>
  <si>
    <t>311 
312 
321 
351</t>
  </si>
  <si>
    <t>300 
311</t>
  </si>
  <si>
    <t xml:space="preserve">XV-II 17 Details of sea inlet and discharge arrangements including arrangements to ensure that no above waterline discharges are in the way of lifeboat and liferaft lowering locations and, where applicable, piping arrangements for internal sea bays, keel coolers and ship structure tank coolers.
</t>
  </si>
  <si>
    <t>XV-II 18 Structural details of tanks not forming part of the hull structure.</t>
  </si>
  <si>
    <t>XV-II 19 Installation details of all water systems referred to in item 16 stating assigned working pressures, temperatures and flow rates.</t>
  </si>
  <si>
    <t>XV-II 20 Materials, sizes, design working pressures, testing arrangements and procedures of pumps, piping, valves and other components.</t>
  </si>
  <si>
    <t>XV-II 21 Details of
(a) pipe connections to flanges or other joining arrangements;
(b) securing arrangements for pumps, non-structural tanks and piping; and
(c) protection against overpressure to or from water systems when used for cooling purposes in integral jackets of machinery.</t>
  </si>
  <si>
    <t xml:space="preserve">XV-II 22 Information for valves and similar minor components referred to in item 20 is not required to be submitted where a manufacturer or an approved classification society certifies that the types of valves or similar minor components have been designed and constructed in accordance with rules or codes.
</t>
  </si>
  <si>
    <t>XV-II 23 Information for pumps referred to in item 20 is not required to be submitted where an approved classification society certifies that the pumps have been designed and constructed in accordance with rules or codes except that the driving motor or engine of the pumps shall meet the requirements of Part II of the applicable schedule of Schedules I to XV.</t>
  </si>
  <si>
    <t xml:space="preserve">XI-I 1 Means shall be provided to prevent over-pressure in any part of compressed air and refrigerating gas systems and in water jackets or casings of compressors and coolers that may be subjected to over-pressure due to pressurized air or gas leakage.
</t>
  </si>
  <si>
    <t xml:space="preserve">XI-I 2 Where necessary, engine starting compressed air arrangements shall be adequately protected against the effects of backfiring and internal explosion in the starting air pipes.
</t>
  </si>
  <si>
    <t xml:space="preserve">XI-I 3 All discharge pipes from starting air compressors shall lead directly to the starting air receivers, and all starting pipes from the air receivers to main or auxiliary engines shall be entirely separate from the compressor discharge piping system.
</t>
  </si>
  <si>
    <t xml:space="preserve">XI-I 4 Means shall be provided to reduce to a minimum the entry of oil into the air pressure systems and to drain those systems.
</t>
  </si>
  <si>
    <t xml:space="preserve">XI-I 5 Where soldering is to be used for piping connections, the metal shall be silver solder.
</t>
  </si>
  <si>
    <t>Prevention of over-pressure</t>
  </si>
  <si>
    <t>Protection against backfiring and explosion</t>
  </si>
  <si>
    <t>622</t>
  </si>
  <si>
    <t>Piping arrangement</t>
  </si>
  <si>
    <t>Entry of oil</t>
  </si>
  <si>
    <t>Soldering</t>
  </si>
  <si>
    <t xml:space="preserve">XI-II 1 General arrangement of unfired pressure vessels, compressors, air-driven machinery, valves, piping, moisture traps, reducing valves, safety valves, pressure gauges and drainage arrangements, particularly where susceptible to frost damage.
</t>
  </si>
  <si>
    <t xml:space="preserve">XI-II 2 Installation details indicating assigned working pressures, temperatures and flow rates.
</t>
  </si>
  <si>
    <t xml:space="preserve">XI-II 3 Materials, sizes, capacities, design working pressures, temperatures, testing arrangements and procedures of compressors, air driven machinery, piping, valves and other components.
</t>
  </si>
  <si>
    <t xml:space="preserve">XI-II 4 Details of
(a) pipe connections to flanges or other joining arrangements;
(b) securing arrangements of compressors, air driven machinery, piping and allowances for vibration; and
(c) protection against piping damage and over-pressure to or from cooling fluid in integral jackets.
</t>
  </si>
  <si>
    <t xml:space="preserve">XI-II 6 Information for valves and similar minor components referred to in item 3 is not required to be submitted where a manufacturer or an approved classification society certifies that the types of valves or similar minor components have been designed and constructed in accordance with rules or codes.
</t>
  </si>
  <si>
    <t xml:space="preserve">XI-II 7 Information for compressors or air driven machinery referred to in item 3 is not required to be submitted where an approved classification society certifies that the compressors or air driven machinery have been designed and constructed in accordance with rules or codes except that the driving or driven components shall meet the requirements of Part II of the applicable schedule of Schedules I to XV.
</t>
  </si>
  <si>
    <t>XI-II 5 Information set out in items 1 to 4 is not required to be submitted for
(a) ships not in excess of 18 m and certificated to carry not more than 12 passengers; or
(b) systems with an assigned working pressure not in excess of 103 kPa.</t>
  </si>
  <si>
    <t xml:space="preserve">551 - A drainage connection, fitted with an automatic trap complete with manual valved bypasses, shall be provided for air receiver(s) at the lowest point. Drains shall be directed to the bilge.
</t>
  </si>
  <si>
    <t>Air compressors</t>
  </si>
  <si>
    <t>Air receiver drainage</t>
  </si>
  <si>
    <t>621</t>
  </si>
  <si>
    <t>All air systems</t>
  </si>
  <si>
    <t>620</t>
  </si>
  <si>
    <t>670</t>
  </si>
  <si>
    <t>380</t>
  </si>
  <si>
    <t>381</t>
  </si>
  <si>
    <t>382</t>
  </si>
  <si>
    <t>390</t>
  </si>
  <si>
    <t>391</t>
  </si>
  <si>
    <t>400</t>
  </si>
  <si>
    <t>401</t>
  </si>
  <si>
    <t>402</t>
  </si>
  <si>
    <t>403</t>
  </si>
  <si>
    <t>404</t>
  </si>
  <si>
    <t>411</t>
  </si>
  <si>
    <t>412</t>
  </si>
  <si>
    <t>413</t>
  </si>
  <si>
    <t>414</t>
  </si>
  <si>
    <t>310</t>
  </si>
  <si>
    <t>312</t>
  </si>
  <si>
    <t>320</t>
  </si>
  <si>
    <t>321</t>
  </si>
  <si>
    <t>322</t>
  </si>
  <si>
    <t>323</t>
  </si>
  <si>
    <t>324</t>
  </si>
  <si>
    <t>325</t>
  </si>
  <si>
    <t>130</t>
  </si>
  <si>
    <t>131</t>
  </si>
  <si>
    <t>132</t>
  </si>
  <si>
    <t>133</t>
  </si>
  <si>
    <t>134</t>
  </si>
  <si>
    <t>135</t>
  </si>
  <si>
    <t>136</t>
  </si>
  <si>
    <t>137</t>
  </si>
  <si>
    <t>139</t>
  </si>
  <si>
    <t>140</t>
  </si>
  <si>
    <t>141</t>
  </si>
  <si>
    <t>142</t>
  </si>
  <si>
    <t>143</t>
  </si>
  <si>
    <t>144</t>
  </si>
  <si>
    <t>203</t>
  </si>
  <si>
    <t>204</t>
  </si>
  <si>
    <t>210</t>
  </si>
  <si>
    <t>211</t>
  </si>
  <si>
    <t>212</t>
  </si>
  <si>
    <t>213</t>
  </si>
  <si>
    <t>214</t>
  </si>
  <si>
    <t>220</t>
  </si>
  <si>
    <t>221</t>
  </si>
  <si>
    <t>222</t>
  </si>
  <si>
    <t>223</t>
  </si>
  <si>
    <t>224</t>
  </si>
  <si>
    <t>250</t>
  </si>
  <si>
    <t>251</t>
  </si>
  <si>
    <t>252</t>
  </si>
  <si>
    <t>253</t>
  </si>
  <si>
    <t>254</t>
  </si>
  <si>
    <t>255</t>
  </si>
  <si>
    <t>256</t>
  </si>
  <si>
    <t>257</t>
  </si>
  <si>
    <t>258</t>
  </si>
  <si>
    <t>259</t>
  </si>
  <si>
    <t>295</t>
  </si>
  <si>
    <t>Mechanical systems</t>
  </si>
  <si>
    <t xml:space="preserve">XV-I-II 030 - Where there are depressions in the tank tops due to inverse camber, double bottom discontinuity or accommodation for machinery, means shall be provided to remove bilge-water accumulation in the depressions.
XV-I-II 032 - Where a machinery space is divided by watertight bulkheads so as to separate the boiler rooms or auxiliary engine rooms from the main engine room, the number and position of the branch bilge suction pipes in the boiler rooms or auxiliary engine rooms shall be the same as for cargo holds referred to in item 49 except that an additional independent power pump direct bilge suction pipe shall be fitted in each watertight compartment and shall, if practicable, lead to the end of the compartment opposite the branch suction pipe location.
XV-I-II 033 - Provisions similar to those set out in item 32 shall be made in each separate motor room of electrically propelled ships.
XV-I-II 034 - The shaft tunnel aft well suction pipe shall be directly connected to the main bilge suction pipe.
XV-I-II 035 - Where the tank top in the shaft tunnel slopes down from aft to forward, a bilge well shall be provided at the forward end of the tunnel in addition to the aft well referred to in item 34 and one suction pipe may serve both wells if the wells are fitted with separate valves.
</t>
  </si>
  <si>
    <t>ExG</t>
  </si>
  <si>
    <t xml:space="preserve">102 
330 </t>
  </si>
  <si>
    <t>Operation in slush ice conditions</t>
  </si>
  <si>
    <t xml:space="preserve">2.6.1.1 Vessels engaged on a voyage within Eastern Canadian waters and
operating in slush ice conditions that are not built to Classification Society
Rules for navigation in ice shall ensure the sea inlets are designed and
constructed to prevent slush and/or spray ice from blocking the seawater
cooling intakes and related air vents.
2.6.1.2 For Guidance, see MSC/Circ.504 Guidance on design and construction of
sea inlets under slush ice conditions, or other appropriate guidelines
providing an equivalent safety level.
</t>
  </si>
  <si>
    <t>Canadian supplement to the SOLAS convention - TP 15211E</t>
  </si>
  <si>
    <t>Heater requirements</t>
  </si>
  <si>
    <t xml:space="preserve">2.7.3.1 Heaters in ventilating trunks and re-heat units:
(a) must be an enclosed type. The heater or re-heat unit enclosure must be
protected against corrosion.
(b) Each heater or re-heat unit must have a thermal cutout of the
manually-reset type that prevents overheating of the element and must
have a thermal regulating switch.
(c) The external temperature of the enclosure must not exceed:
(i) 100°C in case of heaters or re-heat unit that are surface or recess
mounted in bulkheads, decks or ceiling, or that are installed behind
bulkhead lining or ceiling, or
(ii) 125°C in case of heaters or re-heat unit that are not recess
mounted, surface mounted or installed behind bulkhead lining or
ceiling.
(d) If a heater or a re-heat unit is mounted on or next to a deck or
bulkhead, the heater must not cause the temperature of the nearest deck
or bulkhead to be over 55 degrees C.
(e) Heating elements must be interlocked with the fan motor supplying
air to the unit so that it can only be energized when the fan is running.
(f) For test purposes, an ambient temperature of 25 degrees C must be
used.
</t>
  </si>
  <si>
    <t xml:space="preserve">B-2-1-3.3.2  Manholes
Where manholes are fitted, access is to be facilitated by means of steps and hand grips with platform landings on each side.
</t>
  </si>
  <si>
    <t>Emergency source of electrical power</t>
  </si>
  <si>
    <t>Installation emergency source of electrical power</t>
  </si>
  <si>
    <t>Emergency power supply, general</t>
  </si>
  <si>
    <t>D-1-6-5.2.1 - An emergency source of electrical power independent of the main power supply is to be provided which is capable of feeding the electrical systems and consumers essential to the safety of passengers and crew. The feeding time depends on the purpose of the vessel and should be agreed with the national Authority, but shall not be less than half an hour. The power supply to the following systems is especially relevant to the safety of passengers and crew:
 a. navigation and signalling lights
 b. sound devices such as tyfon
 c. emergency lighting
 d. radio installations
 e. alarm systems for vessel safety
 f. public address system (general alarm)
 g. telecommunication systems essential to safety and the operation of the vessel
 h. emergency searchlights
 i. fire detection system
 j. sprinkler systems and other safety installations.</t>
  </si>
  <si>
    <t>D-1-6-5.2.2 - The following are admissible for use as an emergency power source:
 a. auxiliary generator sets with their own independent fuel supply and independent cooling system which, in the event of a power failure, turn on and take over the supply of power within 45 seconds automatically or, if they are located in the immediate vicinity of the wheelhouse or any other location permanently manned by crew members, can be turned on manually, or
 b. storage batteries, which, in the event of a power failure, turn on automatically or, if they are located in the immediate vicinity of the wheelhouse or any other location permanently manned by crew members, can be turned on manually. They shall be capable of powering the above mentioned power consumers throughout the prescribed period without recharging and without an unacceptable voltage reduction.</t>
  </si>
  <si>
    <t>D-1-6-5.2.3 - Emergency generator sets, emergency storage batteries and the relevant switchgear are to be installed outside the machinery space, the machinery casings and the main generator room. They are to be separated from these spaces by low flame-spread and watertight bulkheads so that the emergency power supply will not be impaired in the event of a fire or other accident in the machinery space.
Facilities are to be provided for the periodical operational testing of all items of equipment serving the emergency power supply system including especially the automatic switchgear and starting equipment. Such tests must be possible without interference with other aspects of the vessel operation.</t>
  </si>
  <si>
    <t>TP 15211E-III-2.8.1.1 Vessels may comply with the requirements stated in TP 127: Ships Electrical Standards (2008) with respect to vessels engaged on a domestic voyage instead of complying with regulation 42. &gt;&gt; TP 127E S1.3.2 - The emergency source of electrical power shall be adequate for a period of twelve hours except that,
in the case of a ship engaged regularly on voyages of short duration, a lesser period than the 12 hour
period will be permitted provided that:
(a) in no case is it less than 6 hours;
(b) the level of safety is maintained and;
(c) information in respect of the vessel its voyage and life saving and fire fighting equipment it
carries is submitted to the Board for inspection.</t>
  </si>
  <si>
    <t>TP 15211E-III-2.8.1.1 Vessels may comply with the requirements stated in TP 127: Ships Electrical Standards (2008) with respect to vessels engaged on a domestic voyage instead of complying with regulation 42. &gt;&gt; TP 127E S1.3.5 The emergency source of electrical power may be either:
(a) a generator driven by a suitable prime mover with an independent fuel supply using fuel
having a flashpoint of not less than 43°C and equipped with a starting arrangement as per
Part 1 Section 1 (1.6 to 1.10) of this standard; or
(b) storage batteries capable of carrying the emergency load without recharging or excessive
voltage drop.</t>
  </si>
  <si>
    <t>TP 15211E-III-2.8.1.1 Vessels may comply with the requirements stated in TP 127: Ships Electrical Standards (2008) with respect to vessels engaged on a domestic voyage instead of complying with regulation 42. &gt;&gt; TP 127E S1.3.1 Every ship of Group 2 shall have a self-contained emergency source of electrical power that shall be:
(a) located above the bulkhead deck outside the machinery casings and aft of the collision
bulkhead; and
(b) so located in relation to the main source of electrical power as to ensure that a fire or other casualty
in the machinery space will not interfere with the supply or distribution of emergency power.</t>
  </si>
  <si>
    <t xml:space="preserve">102 
331 
372 </t>
  </si>
  <si>
    <t xml:space="preserve">Annex 1, 7.1.2.1 &gt;&gt; C.R.C, c.1105 &gt;&gt; SOR-2016-43 6+7 - 
6 Measures must be taken to ensure that water that is to be provided by way of a potable water system or from a potable water container is free from contamination when it is taken from the water supply.
Marginal note:Loading of contaminated water
7 (1) Section 6 does not apply to contaminated water that is loaded on board a vessel while the vessel is making way if the water is subsequently decontaminated by
 (a) in the case of salt water, reverse osmosis or distillation, or both of those processes, and, if necessary, any other decontamination process; and
 (b) in the case of fresh water, filtration and disinfection.
</t>
  </si>
  <si>
    <t>Free from contamination</t>
  </si>
  <si>
    <t>General requirements</t>
  </si>
  <si>
    <t>Annex 1, 7.1.2.1 &gt;&gt; C.R.C, c.1105 &gt;&gt; SOR-2016-43 6+7 - 
11 (1) A potable water system must be designed, constructed and operated in a manner that prevents the risk of contamination through the implementation of measures
(a) to protect the system during the loading of water;
(b) to prevent backflow;
(c) to protect filling connections and cross connections; and
(d) to protect the system from tampering.</t>
  </si>
  <si>
    <t xml:space="preserve">524.1 - The sea water cooling system shall be designed in accordance with Transport Canada Regulations.
The system shall be served by motor driven pumps, sized to provide the required water flows and pressures at all operating conditions. The systems shall have redundancy in pumping capacity, and shall contain the necessary piping, valves, components and instrumentation to ensure safe operation of equipment served. Water inlets for engines and air conditioning plants shall be distributed on both sides of the ship.
</t>
  </si>
  <si>
    <t xml:space="preserve">612.1 - Deck edges in all passenger accessible areas shall be provided with removable bulwarks designed and fabricated in a similar manner to those shown in Figure 612-1.
These bulwarks shall be fabricated out of uncoated aluminum, and isolated from the steel to avoid galvanic corrosion.
Deck mounting shall be to pad pieces as shown in Figure 612-2.
In way of emergency access points (life rafts / MES, MOB recovery point), the bulwarks shall be hinge- mounted, gate type bulwarks, and be capable of being secured locked/open with a locking pin type mechanism.
</t>
  </si>
  <si>
    <t xml:space="preserve">555 - The vessel is classed as a Class ‘A’ ship with respect to Fire Detection and Extinguishing Equipment.
The Builder shall provide the necessary firefighting equipment, which shall comply with Transport Canada and Class rules.
All fire and emergency pumps shall be able to be operated remotely from the Engine Control Room.
</t>
  </si>
  <si>
    <t xml:space="preserve">532.2 - The ship shall be capable of holding in tanks the amount of potable water required by the regulations. Notwithstanding the regulations, the ship shall hold at least 15 tonnes of potable fresh water.
Stowage tanks shall be arranged to receive potable water from shore via a filling station located at the aft end of the vessel (the ramp end at the Millhaven terminal).
</t>
  </si>
  <si>
    <t>593.4 - The sewage system shall be fitted with the piping and connections necessary for the tank contents to be pumped ashore for disposal when required, whilst at the same time shall have the necessary safeguards in place to prevent the accidental pumping of sewage overboard. The system shall have at least two discharge pumps, each capable of providing 100% discharge capacity.</t>
  </si>
  <si>
    <t xml:space="preserve">593.4 - The IMCS shall provide level indication as well as high level alarms for the black and grey water holding tanks.
</t>
  </si>
  <si>
    <t>Remote tanksounding system</t>
  </si>
  <si>
    <t>Appendages</t>
  </si>
  <si>
    <t>Level indication / alarms</t>
  </si>
  <si>
    <t xml:space="preserve">256 -If practicable, the vessel shall be fitted with keel coolers as the primary means of engine cooling. Engine and keel coolers shall be plumbed for filling and draining.
</t>
  </si>
  <si>
    <t xml:space="preserve">233.1 - Combustion air shall be filtered in accordance with the manufacturer’s recommendations. If diesel engine combustion air is not taken from within the space, removable and cleanable type filters shall be provided on the weather side of the diesel engine air intakes.
Combustion air for diesel engines shall be drawn through silencers and filters, as required, and may be taken from the diesel engine space or ducted from the weather directly to the engine.
All combustion air intakes located drawing directly from weather shall be of the self-draining air lift type. The combustion air weather intake shall be designed and arranged to prevent its blockage by foreign objects and shall be arranged so that the inflow or discharge orifices are remote from places which are normally frequented by crew members.
512.4 - Powered supply and exhaust ventilation systems shall be provided for the machinery spaces in accordance with Class and regulatory body requirements. Machinery space ventilation motors shall be variable speed. The intake and exhaust louvers shall be orientated to minimize the effects of water spray/mist/snow. Reusable filter media shall be used to limit intake of insects and dust.
</t>
  </si>
  <si>
    <t xml:space="preserve">233.1 - Diesel engines shall be water-cooled and heat exchangers (if fitted) shall be double-tubed and provided with leak detection.
256 - If practicable, the vessel shall be fitted with keel coolers as the primary means of engine cooling. Engine and keel coolers shall be plumbed for filling and draining.
</t>
  </si>
  <si>
    <t xml:space="preserve">259.2 - The impact of exhaust gases on topside arrangements shall be minimized. Exhaust system discharge to the atmosphere shall be sized and located to exhaust above the ship's boundary layer.
Re-ingestion of any exhaust gases from the ship into all air intakes shall be prevented under all normal operating conditions.
Each unit of installed equipment requiring disposal of combustion gases shall have a separate system which ducts the gases directly to the weather.
Uncovered weather outlets shall be provided with portable covers of coated cloth and means to lash them down for use when the engine is shut down. A steel framework shall be provided to support the cover.
All engine exhausts shall of sufficient height to prevent exhaust gas from being blown onto the Vehicle Deck or ingested into the Machinery Space ventilation system.
</t>
  </si>
  <si>
    <t xml:space="preserve">259.2 - All diesel engines shall each have a separate exhaust piping system with emissions treatment components.
</t>
  </si>
  <si>
    <t xml:space="preserve">424.3 - The transducer installation shall include a sea chest and gate valve, which shall permit removal and reinstallation of the transducer without dry-docking the ship.
</t>
  </si>
  <si>
    <t xml:space="preserve">343 
372 </t>
  </si>
  <si>
    <t>AC drains</t>
  </si>
  <si>
    <t xml:space="preserve">514 - The ship’s Air Conditioning plants shall be designed and provided in accordance with the requirements of Class and regulatory bodies.
The ship’s air conditioning shall provide for the maximum air conditioning load with any single air conditioning Plant off-line. Plant capacity shall be based on maintaining the design conditions in Section 640 for the outside air conditions specified in Section 050.
All plants shall use a refrigerant with an ozone depleting potential of zero.
</t>
  </si>
  <si>
    <t>514 - Condensate lines shall not be directed to vehicle decks or public areas.</t>
  </si>
  <si>
    <t xml:space="preserve">521 - The firemain system shall be a dry system and designed and provided in accordance with Class and regulatory body requirements and equipped with drains at all low points. The firemain system shall have a minimum of two (2) General Service Fire pump.
Two international standard shore connections shall be fitted, one port and one starboard on the main deck to permit fire hose connection from a shore based fire system.
</t>
  </si>
  <si>
    <t xml:space="preserve">551 - Compressors and receiver(s) shall be provided for ship service air in accordance with Class Rules and regulatory body requirements.
</t>
  </si>
  <si>
    <t xml:space="preserve">555.1 - In accordance with the regulations, a fire suppression system, utilizing a water mist system, shall be fitted, to protect the Engine Rooms and the Auxiliary Machinery Rooms including battery rooms. Release stations shall be located in accordance with the regulations.
The Owners preference is to use a non-gaseous fixed extinguishing system, such as water mist.
</t>
  </si>
  <si>
    <t xml:space="preserve">644.1 - TABLE 644-1
Item Crew Bathroom Crew Toilet
Lavatory/Sink 1 1
Shower 1 0
Toilet 1 1
Cabinet, toilet w/mirror
</t>
  </si>
  <si>
    <t xml:space="preserve">644.1 - Plumbing fixtures and fittings shall be provided in accordance with Table 644-1 or as agreed with Owner. All appliances and fittings (sinks, toilets, urinals, hand dryers, etc) shall be hands free.
The spaces shall be fitted with floor drains.
Facilities shall allow for a mixed gender crew in accordance with regulations. The ship shall have the following Crew sanitary facilities:
a. One (1) crew bathroom, accessible from the Crew Changing Room (one accessible from CCR and ER may be acceptable);
b. One (1) crew toilet, accessible from the Crew Changing Room;
c. One (1) crew toilet, accessible from the Wheelhouse; and
d. One (1) crew toilet, accessible from the Engine Room.
</t>
  </si>
  <si>
    <t>644.2 - Three washrooms shall be located near the passenger area and shall have plumbing fixtures and fittings provided in accordance with Table 644-2 or as agreed with Owner.  Four (4) washrooms shall be designated as Gender Neutral. Two of the wheelchair accessible washrooms shall have access from passenger lounge and the others shall have direct access from car deck.
Two wheelchair accessible washrooms shall be provided in accordance with the requirements of the Code of Practice. One of the wheelchair accessible washroom shall have access from passenger lounge and the other shall have direct access from car deck.
All appliances and fittings (sinks, toilets, urinals, hand dryers, etc) shall be hands free. The spaces shall be fitted with floor drains.</t>
  </si>
  <si>
    <t xml:space="preserve">644.2 - TABLE 644-2
Item Ladies Washroom Gentleman’s Washroom Gender Neutral Washroom
Lavatory/Sink 1 1
Toilet 0 1
Toilet (suitable for
wheelchair access) 1 0
Urinal 0 0
</t>
  </si>
  <si>
    <t xml:space="preserve">233.1 - Diesel engines shall be capable of continuous operation using diesel fuel in accordance with ISO-F-DMB-005 (DMA is acceptable). 
</t>
  </si>
  <si>
    <t xml:space="preserve">211 
213 
311 
313 
321 
322 
670 
</t>
  </si>
  <si>
    <t>Systems remaining operational in case of fire</t>
  </si>
  <si>
    <t>Openings in collision bulkheads</t>
  </si>
  <si>
    <t>Penetration of watertight bulkheads or decks and fire divisions</t>
  </si>
  <si>
    <t>Fuel oil tanks</t>
  </si>
  <si>
    <t>Bilge wells in double bottoms</t>
  </si>
  <si>
    <t>Design pressure</t>
  </si>
  <si>
    <t xml:space="preserve">C-1-10-1.3.2.d  The design pressure of a piping system located on the low pressure side of a pressure reducing valve where no safety valve is provided is not to be less than the maximum pressure on the high pressure side of the pressure reducing valve.
</t>
  </si>
  <si>
    <t xml:space="preserve">B-2-1-3.1.1  Inner bottom manholes
Inner bottom manholes are to be not less than 0,40 m x 0,40 m. Their number and location are to be so arranged as to provide convenient access to any part of the double bottom.
Inner bottom manholes are to be closed by watertight plate covers.
Doubling plates are to be fitted on the covers, where secured by bolts.
Where no ceiling is fitted, covers are to be adequately protected from damage by the cargo.
</t>
  </si>
  <si>
    <t xml:space="preserve">B-2-1-3.1.2  Floor and girder manholes
Manholes are to be provided in floors and girders so as to provide convenient access to all parts of the double bottom.
The size of manholes and lightening holes in floors and girders is, in general, to be less than 50 per cent of the local height of the double bottom.
Where manholes of greater sizes are needed, edge reinforcement by means of flat bar rings or other suitable stiffeners may be required.
Manholes may not be cut into the continuous centreline girder or floors and girders below pillars, except where allowed by the Society on a case by case basis.
</t>
  </si>
  <si>
    <t xml:space="preserve">B-2-1-3.2.1 Tanks and subdivisions of tanks having lengths of 35 m and above are to be fitted with at least two access hatchways and ladders, as far apart as practicable longitudinally.
Tanks less than 35 m in length are to be served by at least one access hatchway and ladder.
</t>
  </si>
  <si>
    <t>Use of metallic materials</t>
  </si>
  <si>
    <t>Materials -general</t>
  </si>
  <si>
    <t xml:space="preserve">C-1-10-2.1.1 Materials to be used in piping systems are to be suitable for the medium and the service for which the piping is intended.
</t>
  </si>
  <si>
    <t>Use of plastics</t>
  </si>
  <si>
    <t xml:space="preserve">C-1-10-2.1.3  Plastics may be used for piping systems belonging to class III in accordance with Ch 1, App 3. The use of plastics for other systems or in other conditions will be given special consideration.
Plastics intended for piping systems dealt with in this Section are to be of a type approved by the Society.
</t>
  </si>
  <si>
    <t xml:space="preserve">C-1-10-2.1.2  Metallic materials are to be used in accordance with  Tab 5.
Materials for class I and class II piping systems are to be manufactured and tested in accordance with the appropriate requirements of NR216 Materials and Welding.
Materials for class III piping systems are to be manufactured and tested in accordance with the requirements of acceptable national or international standards or specifications.
Mechanical characteristics required for metallic materials are specified in NR216 Materials and Welding. 
</t>
  </si>
  <si>
    <t xml:space="preserve">C-1-10-2.2 See specific article.
</t>
  </si>
  <si>
    <t>Thickness of pressure piping</t>
  </si>
  <si>
    <t xml:space="preserve">C-1-10-2.4.1  General
The junctions between metallic pipe lengths or between metallic pipe lengths and fittings are to be made by:
direct welding (butt-weld, socket-weld)
bolted flanges (welded-on or screwed-on)
threaded sleeve joints, or
mechanical joints (see [2.4.5]).
The joints are to comply with a recognised standard or to be of a design proven to be suitable for the intended purpose and acceptable to the Society. See also [2.1.2].
The expression "mechanical joints" means devices intended for direct connection of pipe lengths other than by welding, flanges or threaded joints described in [2.4.2]. [2.4.3]. [2.4.4].
The number of joints in flammable oil piping systems is to be kept to the minimum necessary for mounting and dismantling purposes.
The gaskets and packings used for the joints are to suit the design pressure, the design temperature and the nature of the fluids conveyed.
The junction between plastic pipes is to comply with Ch 1, App 3.
</t>
  </si>
  <si>
    <t>C-1-10-2.4.3  Metallic flange connections
In general, the metallic flange connections used for piping systems are to be in compliance with a standard recognised by the Society.
The material used for flanges and gaskets is to be suitable for the nature and temperature of the fluid, as well as pipes on which the flanges are to be fitted.
The dimensions and configuration of flanges and bolts are to be chosen in accordance with recognised standard intended for design pressure and design temperature of the piping system. Otherwise, the flange connections are subject to special consideration.
Flanges are to be attached to the pipes by welding or screwing. Examples of acceptable metallic flange connections are shown in Fig 1. However, other types of flange connections may be also considered by the Society in each particular case, provided that they are in accordance with national or international standards applicable to the piping system and recognise the boundary fluids, design pressure and temperature conditions, external or cyclic loading and location.
Permitted applications are indicated in  Tab 16.</t>
  </si>
  <si>
    <t xml:space="preserve">C-1-10-2.5.1  Dimensions and calculation
The dimensions of flanges and bolting are to comply with recognized standards.
</t>
  </si>
  <si>
    <t xml:space="preserve">C-1-10-2.5.2  Pipe connections
The following pipe connections may be used:
- fully penetrating butt welds with/without provision to improve the quality of the root
- socket welds with suitable fillet weld thickness and possibly in accordance with recognized standards
- screw connections of approved type.
For the use of these pipe connections, see  Tab 16.
Screwed socket connections and similar connections are not permitted for pipes of classes II and III. Screwed socket connections are allowed only for subordinate systems (e.g. sanitary and hot-water heating systems) operating at low pressures. Screwed pipe connections and pipe coupling may be used subject to special approval.
</t>
  </si>
  <si>
    <t xml:space="preserve">C-1-10-2.4.4  Slip-on threaded joints
Slip-on threaded joints having pipe threads where pressure-tight joints are made on the threads with parallel or tapered threads are to comply with requirements of a recognised national or international standard and are to be acceptable to the Society.
Slip-on threaded joints may be used for piping systems in accordance with  Tab 15.
Threaded joints may be accepted also in CO2 piping systems, provided that they are used only inside protected spaces and in CO2 cylinder rooms.
</t>
  </si>
  <si>
    <t xml:space="preserve">C-1-10-2.4.5  Mechanical joints
Due to the great variations in design and configuration of mechanical joints, specific recommendation regarding calculation method for theoretical strength calculations is not specified. The Type Approval is to be based on the results of testing of the actual joints.
Below specified requirements are applicable to pipe unions, compression couplings, slip-on joints as shown in Fig 2. Similar joints complying with these requirements may be acceptable.
The application and pressure ratings of different mechanical joints are to be approved by the Society. The approval is to be based on the Type Approval procedure provided in Ch 1, App 5. Mechanical joints including pipe unions, compression couplings, slip-on joints and similar joints are to be of approved type for the service conditions and the intended application.
Where the application of mechanical joints results in reduction in pipe wall thickness due to the use of bite type rings or other structural elements, this is to be taken into account in determining the minimum wall thickness of the pipe to withstand the design pressure.
Material of mechanical joints is to be compatible with the piping material and internal and external media.
As far as applicable, the mechanical joints are to be tested to a burst pressure of 4 times the design pressure. For design pressures above 200 bar the required burst pressure is to be specially considered by the Society.
Where appropriate, mechanical joints are to be of fire resistant type as required by  Tab 17.
Mechanical joints, which in the event of damage could cause fire or flooding, are not to be used in piping sections directly connected to the ship's side below the bulkhead deck of passenger ships and freeboard deck of cargo ships or tanks containing flammable fluids.
The number of mechanical joints in flammable liquid systems is to be kept to a minimum. In general, flanged joints conforming to recognised standards are to be used.
Piping in which a mechanical joint is fitted is to be adequately adjusted, aligned and supported. Supports or hangers are not to be used to force alignment of piping at the point of connection.
Slip-on joints are not to be used in pipelines in cargo holds, tanks, and other spaces which are not easily accessible, unless approved by the Society. Application of these joints inside tanks may be permitted only for the same media that is in the tanks. Usage of slip type slip-on joints as the main means of pipe connection is not permitted except for cases where compensation of axial pipe deformation is necessary.
Application of mechanical joints and their acceptable use for each service is indicated in  Tab 17; dependence upon the class of piping, pipe dimensions, working pressure and temperature is indicated in  Tab 18.
In some particular cases, sizes in excess of those mentioned above may be accepted by the Society if they are in compliance with a recognised national and/or international standard.
Application of various mechanical joints may be accepted as indicated by  Tab 17. However, in all cases, acceptance of the joint type is to be subject to approval for the intended application, and subject to conditions of the approval and applicable Rules.
Mechanical joints are to be tested in accordance with a program approved by the Society, which is to include at least the following:
leakage test
vacuum test (where necessary)
vibration (fatigue) test
fire endurance test (where necessary)
burst pressure test
pressure pulsation test (where necessary)
assembly test (where necessary)
pull out test (where necessary).
The installation of mechanical joints is to be in accordance with the manufacturer's assembly instructions. Where special tools and gauges are required for installation of the joints, these are to be supplied by the manufacturer.
</t>
  </si>
  <si>
    <t xml:space="preserve">C-1-10-2.5.1  General
a.  These requirements deal with the protection of piping systems against overpressure, with the exception of heat exchangers and pressure vessels, which are dealt with in Ch 1, Sec 3, [3.5.1].
b.  Safety valves are to be sealed after setting.
</t>
  </si>
  <si>
    <t xml:space="preserve">C-1-10-2.5.2  Protection of flammable oil systems
Provisions shall be made to prevent overpressure in any flammable oil tank or in any part of the flammable oil systems, including the filling lines served by pumps on board.
</t>
  </si>
  <si>
    <t xml:space="preserve">C-1-10-2.5.3  Protection of pump and compressor discharges
Provisions are to be made so that the discharge pressure of pumps and compressors cannot exceed the pressure for which the pipes located on the discharge of these pumps and compressors are designed.
When provided on the pump discharge for this purpose, safety valves are to lead back to the pump suction or to any other suitable place.
The discharge capacity of the safety valves installed on pumps and compressors is to be such that the pressure at the discharge side cannot exceed by more than 10% the design pressure of the discharge pipe in the event of operation with closed discharge.
</t>
  </si>
  <si>
    <t xml:space="preserve">Protection against overpressure </t>
  </si>
  <si>
    <t xml:space="preserve">C-1-10-2.6.1  General
a.  Definitions:
 - Flexible hose assembly: short length of metallic or non-metallic hose normally with prefabricated end fittings ready for installation
 - Expansion joint: an assembly designed to safely absorb the heat-induced expansion and contraction, to allow relative movement between pipes and the ship's structure as required in [5.6].
b.  Flexible hoses and expansion joints are to be of a type approved by the Society. Unless otherwise specified, they are to comply with the requirements of this sub-article.
c.  The requirements of this sub-article apply to flexible hoses and expansion joints of metallic or non-metallic material intended for a permanent connection between a fixed piping system and items of machinery. The requirements may also be applied to temporary connected flexible hoses or hoses of portable equipment.
d.  Unless otherwise specified, the requirements of this sub-article do not apply for flexible hose assemblies and expansion joints intended to be used in fire extinguishing systems.
e.  Flexible hose assemblies and expansion joints intended for piping systems with a design temperature below the ambient temperature are subject to special consideration by the Society.
f.  Specific requirements for flexible hoses and expansion joints intended for cargo pipe lines are given in:
 Part D, Chapter 7 for oil tankers
 Part D, Chapter 8 for chemical tankers
 Part D, Chapter 9 for liquefied gas carriers.
</t>
  </si>
  <si>
    <t xml:space="preserve">C-1-10-2.6.2  Conditions of use of flexible hoses and expansion joints
a.  Unless otherwise specified, the Society may permit the use of flexible hoses and expansion joints, both in metallic and non-metallic materials, provided they are approved for the intended service. They may be accepted for use in oil fuel, lubricating, hydraulic and thermal oil systems, fresh water and sea water cooling systems, compressed air systems, bilge and ballast systems, Class III steam systems and exhaust gas systems where they comply with the requirements of this sub-article.
b.  For steam systems, the flexible hose assemblies and expansion joints are to be of metallic constructions.
c.  The position of flexible hose assemblies and expansion joints is to be clearly shown on the drawings listed in [1.2.1] and [1.2.2] when submitted to the Society.
d.  Flexible hose assembly or an expansion joint is to be selected for the intended location and application taking into consideration ambient conditions, compatibility with fluids under working pressure and temperature conditions consistent with the manufacturer's instructions and any requirements of the Society.
e.  Flexible hose assembly or an expansion joint is not accepted in high pressure fuel oil injection systems.
f.  The use of non-metallic expansion joints on pipes connected inboard to sea inlet valves and overboard discharge valves below the bulkhead deck is to be subject to a special consideration by the Society. Unless the above-mentioned valves are fitted with remote controls operable from above the freeboard deck, suitable means are to be provided to limit the flooding of the ship in the event of rupture of the expansion joints.
g.  The use of expansion joints in water lines for other services, including ballast lines in machinery spaces, in duct keels and inside double bottom water ballast tanks, and bilge lines inside double bottom tanks and deep tanks, is to be subject to special consideration.
h.  The arrangement and installation of the flexible hose assemblies and expansion joints are also to comply with [5.9.3].
</t>
  </si>
  <si>
    <t xml:space="preserve">C-1-10-2.6.3  Design of flexible hoses and expansion joints
a.  Flexible hoses and expansion joints are to be designed and constructed in accordance with recognised National or International standards acceptable to the Society.
Note 1 :   Documentation and calculation of expansion joints may be carried out in accordance with the EJMA standard.
b.  The material, design and construction are to be at least suitable for:
marine environment and external contact with hydrocarbons
internal contact and resistance to the fluid they are to convey
maximal pressure and temperature of fluid they are to convey
maximum expected forces due to vibrations
maximum expected impulse peak pressure
bursting pressure at the service temperature in accordance with [2.6.4].
The metallic materials are to comply with [2.1.2].
c.  Where rubber materials are intended for use in bilge, ballast, compressed air, oil fuel, lubricating, hydraulic and thermal oil systems, the construction is to incorporate a single, double or more, closely woven integral wire braid or other suitable material reinforcement acceptable to the Society.
Flexible hoses of plastic materials for the same purposes, such as Teflon or Nylon, which are unable to be reinforced by incorporating closely woven integral wire braid, are to have suitable material reinforcement, as far as practicable.
Rubber or plastic material hoses used in oil supply lines to burners are to have external wire braid protection in addition to the reinforcement mentioned above.
d.  Flexible hose assemblies and expansion joints constructed of non-metallic materials, which are intended for installation in piping systems for flammable media or in sea water systems where failure may result in flooding, are to be of fire-resistant type except in cases where such hoses are installed on open decks as defined in Ch 4, Sec 5, [1.5.2] and not used for fuel oil lines.
Fire resistance is to be demonstrated by testing in accordance with standard specified in [2.6.4].
e.  Flexible hoses and expansion joints are to be complete with approved end fittings in accordance with manufacturer's specification. The end connections that do not have a flange are to comply with [2.4.5] as applicable and each type of hose/fitting combination is to be subject to prototype testing to the same standard as that required by the hose with particular reference to pressure and impulse tests.
f.  The hose clamps and similar types of end attachments are not acceptable for use in piping systems for steam, flammable media, starting air systems or for sea water systems where failure may result in flooding. In other piping systems, the use of hose clamps may be accepted where the working pressure is less than 0,5 MPa and provided that there are double clamps at each end connection.
g.  The expansion joints intended for use in sea water systems are to be provided with suitable guards which effectively enclose and reduce to the minimum practicable any flow of water into the machinery spaces in the event of failure of the flexible elements. However, the guards are not to interfere with the action of the expansion joint.
</t>
  </si>
  <si>
    <t xml:space="preserve">C-1-10-2.7.2  Design of valves and accessories
a.  Materials of valve and accessory bodies are to comply with the provisions of [2.1].
b.  Connections of valves and accessories with pipes are to comply with the provisions of [2.4].
c.  All valves and accessories are to be so designed as to prevent the loosening of covers and glands when they are operated.
d.  Valves are to be so designed as to shut with a right-hand (clockwise) motion of the wheels.
e.  Valves are to be provided with local indicators showing whether they are open or shut, unless this is readily apparent.
</t>
  </si>
  <si>
    <t xml:space="preserve">C-1-10-2.8.1  General
Except where expressly stated in Article [8], the requirements of this sub-article do not apply to scuppers and sanitary discharges.
Unless otherwise specified, the number of sea inlets is to be as stated in [10.7].
The sea inlets are to comply also with the requirements specified for particular service notations or additional class notations, such as:
 Pt D, Ch 7, Sec 4, [2.3.6] for oil tankers and FLS tankers
 Pt E, Ch 4, Sec 3, [3.3.2] for fire fighting ships
 Pt D, Ch 15, Sec 4, [1.8] for fishing vessels
 Pt F, Ch 8, Sec 3, [3.2] for navigation in ice
 Pt F, Ch 11, Sec 11, [6.2.2] for navigation in cold weather conditions.
</t>
  </si>
  <si>
    <t xml:space="preserve">C-1-10-2.8.2  Design of sea inlets and overboard discharges
All inlets and discharges in the shell plating are to be fitted with efficient and accessible arrangements for preventing the accidental admission of water into the ship.
Sea inlets and overboard discharges are to be fitted with valves complying with [2.7] and [2.8.3].
Machinery space main and auxiliary sea inlets and discharges in connection with the operation of machinery are to be fitted with readily accessible valves between the pipes and the shell plating or between the pipes and fabricated boxes attached to the shell plating. The valves may be controlled locally and are to be provided with indicators showing whether they are open or closed.
Sea inlets are to be so designed and arranged as to limit turbulence and to avoid the admission of air due to motion of the ship.
Sea inlets are to be fitted with gratings complying with [2.8.4].
Provisions are to be made for clearing sea inlet gratings.
Sea chests are to be suitably protected against corrosion.
Sea water suction lines are to be fitted with strainers having a free passage area of at least twice that of the sea suction valve.
</t>
  </si>
  <si>
    <t xml:space="preserve">C-1-10-2.8.3  Valves
Sea inlet and overboard discharge valves are to be secured:
directly on the shell plating, or
on sea chests built on the shell plating, with scantlings in compliance with Part B of the Rules, or
on extra-reinforced and short distance pieces attached to the shell (see  Tab 6).
The bodies of the valves and distance pieces are to have a spigot passing through the plating without projecting beyond the external surface of such plating or of the doubling plates and stiffening rings, if any.
Valves are to be secured by means of:
bolts screwed through the plating with a countersunk head, or
studs screwed in heavy pads themselves secured to the hull or chest plating, without penetration of the plating by the stud holes.
The use of butterfly valves will be specially considered by the Society. In any event, butterfly valves not fitted with flanges are not to be used for water inlets or overboard discharges unless provisions are made to allow disassembling at sea of the pipes served by these valves without any risk of flooding.
The materials of the valve bodies and connecting pieces are to comply with  Tab 5.
Ship side valves serving piping systems made of plastics are to comply with Ch 1, App 3, [3.7.1].
In manned machinery spaces, the valves may be controlled locally and shall be provided with indicators showing whether they are open or closed. Location of controls shall comply with [5.5.4].
</t>
  </si>
  <si>
    <t xml:space="preserve">C-1-10-2.8.1 Outboards are to be made of steel or appropriate non-brittle material.
</t>
  </si>
  <si>
    <t xml:space="preserve">C-1-10-2.8.2 Valves may only be mounted on the vessel's side by means of reinforcing flanges or thick-walled connecting pipes.
</t>
  </si>
  <si>
    <t>Sea inlets and overboard discharges</t>
  </si>
  <si>
    <t xml:space="preserve">C-1-10-2.8.3 Vessel's side valves shall be easily accessible. Water inlet and outlet valves must be capable of being operated from above the floor plates. Cocks on the vessel's side must be so arranged that the handle can only be removed when the cock is closed.
</t>
  </si>
  <si>
    <t xml:space="preserve">C-1-10-2.8.4 Where a discharge pipe is connected to the vessel's hull below the bulkhead deck, the wall gross thickness of the pipe sections extending between the shell and the nearest shutoff device is to be equal to that of the shell plating in way of the connection, but need not exceed 8 mm.
</t>
  </si>
  <si>
    <t xml:space="preserve">C-1-10-2.8.5 Outboard connections are to be fitted with shutoff valves.
</t>
  </si>
  <si>
    <t>Control and monitoring</t>
  </si>
  <si>
    <t xml:space="preserve">C-1-10-6.1.2  Application to ships having the additional service feature SPxxx or SPxxx-capable
Ships having the additional service feature   SPxxx or   SPxxx-capable are to comply, in addition to the applicable requirements of this Article, with the requirements of Pt D, Ch 11, Sec 4, [1], considering special personnel as passengers.
</t>
  </si>
  <si>
    <t>Bilge system application</t>
  </si>
  <si>
    <t xml:space="preserve">C-1-10-6.2.1  General
An efficient bilge pumping system shall be provided, capable of pumping from and draining any watertight compartment other than a space permanently appropriated for the carriage of fresh water, water ballast, fuel oil or liquid cargo and for which other efficient means of pumping are to be provided, under all practical conditions. Efficient means shall be provided for draining water from insulated holds.
Bilge pumping system is not intended at coping with water ingress resulting from structural or main sea water piping damage.
</t>
  </si>
  <si>
    <t xml:space="preserve">C-1-10-6.2.3  Bilge and ballast systems
The arrangement of the bilge and ballast pumping system shall be such as to prevent the possibility of water passing from the sea and from water ballast spaces into the cargo and machinery spaces, or from one compartment to another.
Provisions shall be made to prevent any deep tank having bilge and ballast connections being inadvertently flooded from the sea when containing cargo, or being discharged through a bilge pump when containing water ballast.
</t>
  </si>
  <si>
    <t>Availability of the bilge system</t>
  </si>
  <si>
    <t xml:space="preserve">C-1-10-6.2.2  The bilge system is to be able to work while the other essential installations of the ship, especially the fire-fighting installations, are in service.
</t>
  </si>
  <si>
    <t>311 
312</t>
  </si>
  <si>
    <t>Progressive flooding</t>
  </si>
  <si>
    <t>Bilge system design</t>
  </si>
  <si>
    <t xml:space="preserve">C-1-10-6.3.1  General
The bilge pumping system is to consist of pumps connected to a bilge main line so arranged as to allow the draining of all spaces mentioned in [6.2.1] through bilge branches, distribution boxes and bilge suctions, except for some small spaces where individual suctions by means of hand pumps may be accepted as stated in [6.6.3] and [6.6.4].
If deemed acceptable by the Society, bilge pumping arrangements may be dispensed with in specific compartments provided the safety of the ship is not impaired.
</t>
  </si>
  <si>
    <t>C-1-10-6.4.2  Ships without double bottom
In ships without double bottom, bilge suctions are to be provided in the holds:
at the aft end in the centreline where the rise of floor exceeds 5°
at the aft end on each side in other cases.
Additional suctions may be required if, due to the particular shape of the floor, the water within the compartment cannot be entirely drained by means of the suctions mentioned in a) above.</t>
  </si>
  <si>
    <t xml:space="preserve">C-1-10-6.4.3  Ships with double bottom
In ships with double bottom, bilge suctions are to be provided in the holds on each side aft. Where the double bottom plating extends from side to side, the bilge suctions are to be led to wells located at the wings. Where the double bottom plating slopes down to the centreline by more than 5°, a centreline well with a suction is also to be provided.
If the inner bottom is of a particular design, shows discontinuity or is provided with longitudinal wells, the number and position of bilge suctions will be given special consideration by the Society.
</t>
  </si>
  <si>
    <t xml:space="preserve">C-1-10-6.4.4  Ships with holds over 30 m in length
In holds greater than 30 m in length, bilge suctions are to be provided in the fore and aft ends.
</t>
  </si>
  <si>
    <t xml:space="preserve">C-1-10-6.4.5  Additional suctions
Additional suctions may be required in the forward part of holds in ships which are likely to navigate normally with a trim by the head.
</t>
  </si>
  <si>
    <t xml:space="preserve">C-1-10-6.4.7  Drainage of cargo spaces intended for the carriage of flammable or toxic liquids
In ships designed for the carriage of flammable or toxic liquids in enclosed cargo spaces, and where large quantities of such liquids are carried, consideration is to be given to the provision of additional means of draining such spaces. See also Ch 4, Sec 11, [2.6].
</t>
  </si>
  <si>
    <t xml:space="preserve">C-1-10-6.5.1  General
Where all the propulsion machinery, boilers and main auxiliaries are located in a single watertight space, the bilge suctions are to be distributed and arranged in accordance with the provisions of [6.5.5].
</t>
  </si>
  <si>
    <t xml:space="preserve">C-1-10-6.5.2  Branch bilge suction
The branch bilge suction is to be connected to the bilge main.
</t>
  </si>
  <si>
    <t xml:space="preserve">C-1-10-6.6.1  General
Except where otherwise specified, bilge suctions are to be branch bilge suctions, i.e. suctions connected to a bilge main.
Draining arrangements of tanks are to comply with the provisions of [7].
</t>
  </si>
  <si>
    <t xml:space="preserve">C-1-10-6.7.2  Use of ejectors
One of the pumps may be replaced by a hydraulic ejector connected to a high pressure water pump and capable of ensuring the drainage under similar conditions to those obtained with the other pump.
On passenger ships, the pump supplying the ejector is not to be used for other services.
</t>
  </si>
  <si>
    <t>Bilge ejectors</t>
  </si>
  <si>
    <t>Other bilge pumps</t>
  </si>
  <si>
    <t>Capacity of bilge pumps</t>
  </si>
  <si>
    <t>Choice of bilge pumps</t>
  </si>
  <si>
    <t xml:space="preserve">C-1-10-6.7.6  Bilge pumps and other power pumps serving essential services which have common suction or discharge are to be connected to the pipes in such a way that:
compartments and piping lines remain segregated in order to prevent possible intercommunication
the operation of any pump is not affected by the simultaneous operation of other pumps.
The isolation of any bilge pump for examination, repair or maintenance is to be made possible without impeding the operation of the remaining bilge pumps.
</t>
  </si>
  <si>
    <t>Connection of power pumps</t>
  </si>
  <si>
    <t xml:space="preserve">C-1-10-6.7.5  Bilge pumps are to be of the self-priming type. Centrifugal pumps are to be fitted with efficient priming means, unless an approved priming system is provided to ensure the priming of pumps under normal operating conditions.
Circulating or cooling water pumps connected to an emergency bilge suction need not be of the self-priming type.
Sanitary, ballast and general service pumps may be accepted as independent power bilge pumps if fitted with the necessary connections to the bilge pumping system.
Hand pumps are to have a maximum suction height not exceeding 7,30 m and to be operable from a position located above the load waterline.
</t>
  </si>
  <si>
    <t>C-1-10-6.7.7  Where submersible bilge pumps are provided, arrangements are to be made to start their motors from a convenient position above the bulkhead deck.
Where an additional local-starting device is provided at the motor of a permanently installed submersible bilge pump, the circuit is to be arranged to provide for the disconnection of all control wires therefrom at a position adjacent to the starter installed on the deck.</t>
  </si>
  <si>
    <t>Electrical supply of submersible pump motors</t>
  </si>
  <si>
    <t>Number and arrangement of bilge pumps</t>
  </si>
  <si>
    <t xml:space="preserve">C-1-10-6.7.3  Other pumps may be used for bilge duties, such as fire, general service, sanitary service or ballast pumps, provided that:
they meet the capacity requirements
suitable piping arrangements are made
pumps are available for bilge duty when necessary.
The use of bilge pumps for fire duty is to comply with the provisions of Ch 4, Sec 6.
</t>
  </si>
  <si>
    <t xml:space="preserve">C-1-10-6.6.2  All cofferdams are to be provided with suction pipes led to the bilge main.
Where cofferdams are divided by longitudinal watertight bulkheads or girders into two or more parts, a single suction pipe led to the aft end of each part is acceptable.
</t>
  </si>
  <si>
    <t>Draining of cofferdams</t>
  </si>
  <si>
    <t xml:space="preserve">C-1-10-6.6.3 Where the peaks are not used as tanks and bilge suctions are not fitted, drainage of both peaks may be effected by hand pump suction provided that the suction lift is well within the capacity of the pump and in no case exceeds 7,3 m.
Except where permitted in [5.3.3], the collision bulkhead is not to be pierced below the freeboard deck.
For tankers, see Pt D, Ch 7, Sec 4, [2.1.4].
For ships intended primarily to carry dry cargo in bulk, see [6.6.7].
</t>
  </si>
  <si>
    <t xml:space="preserve">C-1-10-6.6.4  Provision is to be made for the drainage of the chain lockers and watertight compartments above the fore peak tank by hand or power pump suctions.
Steering gear compartments or other small enclosed spaces situated above the aft peak tank are to be provided with suitable means of drainage, either by hand or power pump bilge suctions. However, in the case of rudder stock glands located below the summer load line, the bilge suctions of the steering gear compartment are to be connected to the main bilge system.
If the compartments referred to in b) are adequately isolated from the adjacent `tweendecks, they may be drained by scuppers discharging to the tunnel (or machinery space in the case of ships with machinery aft) and fitted with self-closing cocks situated in well-lighted and visible positions.
Note 1 :   This arrangement is not applicable to ships required to comply with [5.5], and in particular to passenger ships, unless they are specially approved in relation to subdivision.
For ships intended primarily to carry dry cargo in bulk, see [6.6.7].
</t>
  </si>
  <si>
    <t>Draining of spaces above fore and aft peaks</t>
  </si>
  <si>
    <t xml:space="preserve">C-1-10-6.8.1  The diameter of the bilge main is to be calculated according to the following formula:
d = ..............
where:
d : Internal diameter of the bilge main, in mm
L and B : Length and breadth of the ship as defined in Pt B, Ch 1, Sec 2, in m
D : Moulded depth of the ship to the bulkhead deck, in m, provided that, in a ship having an enclosed cargo space on the bulkhead deck which is internally drained in accordance with the requirements of [8.5.3] and which extends for the full length of the ship, D is measured to the next deck above the bulkhead deck. Where the enclosed cargo spaces cover a lesser length, D is to be taken as the moulded depth to the bulkhead deck plus l·h/L where l and h are the aggregate length and height, respectively, of the enclosed cargo spaces, in m.
Note 1 :   In cargo ships fitted with side ballast tanks forming a double hull on the whole length of the holds, the diameter of the bilge main may be determined by introducing the actual breadth of the holds amidships as B in the above formula. For the part of bilge main serving the suctions to machinery spaces, the cross-section is not to be less than twice the cross-sections resulting from [6.8.3] for branch bilge suctions to those machinery spaces and need not exceed that of the bilge main resulting from the above formula.
In no case is the actual internal diameter to be:
more than 5 mm smaller than that obtained from the formula given in a), or
less than 60 mm, or
less than that obtained from the formula given in [6.8.3] for branch bilge suctions.
For tankers, the internal diameter d of the bilge main in engine room shall be determined in accordance with Pt D, Ch 7, Sec 4, [2.2.2].
For cargo ships where L &lt; 20 m and assigned with a restricted navigation notation, as well as for sailing ships with or without auxiliary engine, the bilge system will be specially considered by the Society in each particular case.
</t>
  </si>
  <si>
    <t>Bilge main line diameter</t>
  </si>
  <si>
    <t>Distribution box branch pipes</t>
  </si>
  <si>
    <t xml:space="preserve">C-1-10-6.8.2  The cross-section of any branch pipe connecting the bilge main to a bilge distribution box is not to be less than the sum of the cross-sections required for the two largest branch suctions connected to this box. However, this cross-section need not exceed that of the bilge main.
</t>
  </si>
  <si>
    <t>Branch bilge suction pipes</t>
  </si>
  <si>
    <t xml:space="preserve">C-1-10-6.8.3  
a.  The internal diameter, in mm, of pipes situated between distribution boxes and suctions in holds and machinery spaces is not to be less than the diameter given by the following formula:
d1 = .........
where: B and D : as defined in [6.8.1]
L1 : Length of the compartment, in m.
d1 is not to be less than 50 mm and need not exceed 100 mm.
b.  For ships other than passenger ships, which have side ballast tanks forming a double hull, the diameter of suction pipes in holds may be determined by introducing as B the actual breadth of the holds amidships.
</t>
  </si>
  <si>
    <t xml:space="preserve">C-1-10-6.8.4  Direct suctions are to be suitably arranged and those in a machinery space are to be of a diameter not less than that required for the bilge main.
In cargo ships having separate machinery spaces of small dimensions, the size of the direct suctions need not exceed that given in [6.8.3] for branch bilge suctions.
</t>
  </si>
  <si>
    <t>Direct suctions other than emergency suctions</t>
  </si>
  <si>
    <t>Emergency suctions in machinery spaces</t>
  </si>
  <si>
    <t xml:space="preserve">C-1-10-6.8.6  Bilge suction pipes to tunnel wells are not to be less than 65 mm in diameter. In ships up to 60 metres in length, this diameter may be reduced to 50 mm.
</t>
  </si>
  <si>
    <t>Bilge suctions from tunnels</t>
  </si>
  <si>
    <t xml:space="preserve">C-1-10-6.8.7  Any scupper provided for draining aft spaces and discharging to the tunnel is to have an internal diameter not less than 35 mm.
</t>
  </si>
  <si>
    <t>Scuppers in aft spaces</t>
  </si>
  <si>
    <t xml:space="preserve">C-1-10-6.9.1  The fitting of drain valves or similar devices is not allowed on the collision bulkhead.
On other watertight bulkheads, the fitting of drain valves or similar devices is allowed unless practical alternative draining means exist. Such valves are to be easily accessible at all times and operable from above the freeboard deck. Means indicating whether the valves are open or closed are to be provided.
</t>
  </si>
  <si>
    <t>Drain valves on watertight bulkheads</t>
  </si>
  <si>
    <t xml:space="preserve">C-1-10-6.9.2  Screw-down non-return valves
a.  Accessories are to be provided to prevent intercommunication of compartments or lines which are to remain segregated from one another. For this purpose, non-return devices are to be fitted:
 - on the pipe connections to bilge distribution boxes or to the alternative valves, if any
 - on direct and emergency suctions in machinery spaces
 - on the suctions of pumps which also have connections from the sea or from compartments normally intended to contain liquid
 - on flexible bilge hose connections
 - on the suctions of water bilge ejectors
 - at the open end of bilge pipes passing through deep tanks
 - in compliance with the provisions for the prevention of progressive flooding, if applicable.
b.  Screw-down and other non-return valves are to be of a recognised type which does not offer undue obstruction to the flow of water.
</t>
  </si>
  <si>
    <t>Mud boxes</t>
  </si>
  <si>
    <t xml:space="preserve">C-1-10-6.9.3  In machinery spaces and shaft tunnels, termination pipes of bilge suctions are to be straight and vertical and are to be led to mud boxes so arranged as to be easily inspected and cleaned.
The lower end of the termination pipe is not to be fitted with a strum box.
</t>
  </si>
  <si>
    <t>Strum boxes</t>
  </si>
  <si>
    <t>Bilge wells</t>
  </si>
  <si>
    <t>Liquid sealed traps</t>
  </si>
  <si>
    <t>C-1-10-6.9.4  In compartments other than machinery spaces and shaft tunnels, the open ends of bilge suction pipes are to be fitted with strum boxes or strainers having holes not more than 10 mm in diameter. The total area of such holes is to be not less than twice the required cross-sectional area of the suction pipe.
Strum boxes are to be so designed that they can be cleaned without having to remove any joint of the suction pipe.</t>
  </si>
  <si>
    <t xml:space="preserve">C-1-10-6.9.5  The wells provided for draining the various compartments are to be of a capacity not less than 0,15 m3. In small compartments, smaller cylindrical wells may be fitted. 
Bilge wells are to comply with the relevant provisions of Part B.
</t>
  </si>
  <si>
    <t xml:space="preserve">C-1-10-6.9.6  The bilge line of refrigerated spaces is to be provided with liquid sealed traps of adequate size arranged for easy cleaning and refilling with brine. These traps are to be fitted with removable grids intended to hold back waste products when defrosting.
Where drain pipes from separate refrigerated rooms join a common main, each of these pipes is to be provided with a liquid sealed trap.
As a general rule, liquid sealed traps are to be fitted with non-return valves. However, for refrigerated spaces not situated in the ship bottom, non-return valves may be omitted, provided this arrangement does not impair the integrity of the watertight subdivision.
</t>
  </si>
  <si>
    <t xml:space="preserve">C-1-10-6.10.1 All bilge pipes used in or under coal bunkers or fuel storage tanks or in boiler or machinery spaces, including spaces in which oil-settling tanks or fuel oil pumping units are situated, shall be of steel or other suitable material non-sensitive to heat.
</t>
  </si>
  <si>
    <t xml:space="preserve">C-1-10-6.11.2  The parts of bilge pipes passing through deep tanks intended to contain water ballast, fresh water, liquid cargo or fuel oil are normally to be contained within pipe tunnels. Alternatively, such parts are to have reinforced thickness, as per  Tab 6 for steel pipes, and are to be made either of one piece or several pieces assembled by welding, by reinforced flanges or by devices deemed equivalent for the application considered; the number of joints is to be as small as possible. These pipes are to be provided at their ends in the holds with non-return valves.
</t>
  </si>
  <si>
    <t>Passage through deep tanks</t>
  </si>
  <si>
    <t xml:space="preserve">C-1-10-6.11.3  Where necessary, bilge pipes inside tanks are to be fitted with expansion bends. Sliding joints are not permitted for this purpose.
</t>
  </si>
  <si>
    <t xml:space="preserve">C-1-10-6.11.4  Connections used for bilge pipes passing through tanks are to be welded joints or reinforced flange connections.
</t>
  </si>
  <si>
    <t>Connections</t>
  </si>
  <si>
    <t xml:space="preserve">C-1-10-6.11.5  All distribution boxes and manually operated valves in connection with the bilge pumping arrangement shall be in positions which are accessible under ordinary circumstances
Hand-wheels of valves controlling emergency bilge suctions are to rise at least 0,45 m above the manoeuvring floor.
</t>
  </si>
  <si>
    <t>Access to valves and distribution boxes</t>
  </si>
  <si>
    <t>Specific requirements for bulk, ore and combination carriers</t>
  </si>
  <si>
    <t>Passage through double bottom compartments</t>
  </si>
  <si>
    <t xml:space="preserve">C-1-10-6.10.1  Passage through double bottom compartments
Bilge pipes are not to pass through double bottom compartments. If such arrangement is unavoidable, the parts of bilge pipes passing through double bottom compartments are to have reinforced thickness as per  Tab 14 for steel pipes.
</t>
  </si>
  <si>
    <t xml:space="preserve">C-1-10-6.10.2  Passage through deep tanks
The parts of bilge pipes passing through deep tanks intended to contain water ballast, fresh water, liquid cargo or fuel oil are normally to be contained within pipe tunnels. Alternatively, such parts are to have reinforced thickness, as per  Tab 14 for steel pipes, and are to be made either of one piece or several pieces assembled by welding, by reinforced flanges or by devices deemed equivalent for the application considered; the number of joints is to be as small as possible. These pipes are to be provided at their ends in the holds with non-return valves.
</t>
  </si>
  <si>
    <t>C-1-10-6.10.3  Where necessary, bilge pipes inside tanks are to be fitted with expansion bends. Sliding joints are not permitted for this purpose.</t>
  </si>
  <si>
    <t xml:space="preserve">C-1-10-6.10.4  A direct suction from the engine room must be connected to the largest of the specified bilge pumps. Its diameter shall not be less than that of the main bilge pipe.
However, the direct suction in the engine room need be fitted with only one screw-down non-return valve.
Where the direct suction is connected to a centrifugal pump which can also be used for cooling water, ballast water or fire extinguishing, a screw-down non-return valve is to be fitted in the discharge pipe of the pump.
Connections used for bilge pipes passing through tanks are to be welded joints or reinforced flange connections.
</t>
  </si>
  <si>
    <t xml:space="preserve">C-1-10-6.2.1  General
An efficient bilge pumping system shall be provided, capable of pumping from and draining any watertight compartment other than a space permanently appropriated for the carriage of fresh water, water ballast, fuel oil or liquid cargo and for which other efficient means of pumping are to be provided, under all practical conditions.
Bilge pumping system is not intended at coping with water ingress resulting from structural or main river water piping damage.
</t>
  </si>
  <si>
    <t xml:space="preserve">C-1-10-6.10.5  All distribution boxes and manually operated valves in connection with the bilge pumping arrangement shall be in positions which are accessible under ordinary circumstances
</t>
  </si>
  <si>
    <t xml:space="preserve">C-1-10-6.2.2  The bilge system is to be able to work while the other essential installations of the vessel, especially the fire-fighting installations, are in service.
</t>
  </si>
  <si>
    <t>XV-I-II 005 - For ships, other than tankers and similar ships, branch bilge suction pipes shall be connected to the main bilge suction pipes and shall be arranged to draw water from any cargo hold, tunnel, machinery space or similar compartment, except that in chain lockers and other small spaces independent pumps that are power or manually driven may be used.
XV-I-II 007 - The following connections may be used in bilge suction systems:
(a) a connecting pipe to a bilge water ejector, where the bilge water ejector provides a service equivalent to a pump;
(b) a connecting pipe from a pump to its suction valve manifold; or
(c) a deep tank suction pipe suitably connected through a change-over device to the bilge, ballast or oil-pumping system.
XV-I-II 056 - Bilge wells shall have a capacity of not less than 150 L, except that in small compartments bilge wells are not required to be fitted if the bilge suction pipes have steel strainers fitted at their lower end.
XV-I-II 057 - Where access openings to bilge wells are necessary, they shall be fitted as near to the suction strainers as practicable.</t>
  </si>
  <si>
    <t xml:space="preserve">C-1-10-6.3.3  
a. Bilge lines are to be so arranged as to avoid inadvertent flooding of any dry compartment.
b. Bilge lines are to be entirely independent and distinct from other lines except where permitted in [5.4].
c. In vessels designed for the carriage of flammable or toxic liquids in enclosed cargo spaces, the bilge pumping system is to be designed to prevent the inadvertent pumping of such liquids through machinery space piping or pumps.
</t>
  </si>
  <si>
    <t xml:space="preserve">C-1-10-6.3.3  
a. Bilge lines are to be so arranged as to avoid inadvertent flooding of any dry compartment.
b. Bilge lines are to be entirely independent and distinct from other lines except where permitted in [5.4].
c. In vessels designed for the carriage of flammable or toxic liquids in enclosed cargo spaces, the bilge pumping system is to be designed to prevent the inadvertent pumping of such liquids through machinery space piping or pumps.. See also Ch 4, Sec 11, [2.6].
</t>
  </si>
  <si>
    <t xml:space="preserve">C-1-10-6.4.1  General
a. Cargo holds are to be fitted with bilge suctions connected to the bilge main.
b. Drainage arrangements for cargo holds likely to be used alternatively for ballast, fuel oil or liquid or dry cargoes are to comply with [7.1].
c. Drainage of enclosed cargo spaces intended to carry dangerous goods shall be provided in accordance with Part D, Chapter 3.
</t>
  </si>
  <si>
    <t xml:space="preserve">C-1-10-6.4.2  Vessels without double bottom
a. In vessels without double bottom, bilge suctions are to be provided in the holds:
- at the aft end in the centreline where the rise of floor exceeds 5°
- at the aft end on each side in other cases.
b. Additional suctions may be required if, due to the particular shape of the floor, the water within the compartment cannot be entirely drained by means of the suctions mentioned in item a) above.
</t>
  </si>
  <si>
    <t xml:space="preserve">C-1-10-6.4.3  Vessels with double bottom
a. In vessels with double bottom, bilge suctions are to be provided in the holds on each side aft. Where the double bottom plating extends from side to side, the bilge suctions are to be led to wells located at the wings. Where the double bottom plating slopes down to the centreline by more than 5°, a centreline well with a suction is also to be provided.
b. If the inner bottom is of a particular design, shows discontinuity or is provided with longitudinal wells, the number and position of bilge suctions will be given special consideration by the Society.
</t>
  </si>
  <si>
    <t xml:space="preserve">C-1-10-6.4.4  Vessels with holds over 30 m in length
In holds greater than 30 m in length, bilge suctions are to be provided in the fore and aft ends.
</t>
  </si>
  <si>
    <t xml:space="preserve">C-1-10-6.4.5  Draining of cargo spaces, other than ro-ro spaces, intended for the carriage of motor vehicles with fuel in their tanks for their own propulsion
See Pt D, Ch 1, Sec 5, [2.2].
</t>
  </si>
  <si>
    <t xml:space="preserve">XV-I-II 053 - Subject to item 118, in ships that have only one cargo hold, where the cargo hold is over 30 m in length bilge suction pipes shall lead to suitable positions in the aft half length and in the forward half length of the cargo hold.
</t>
  </si>
  <si>
    <t xml:space="preserve">C-1-10-6.5.3  Direct suction
The direct suction is to be led direct to an independent power bilge pump and so arranged that it can be used independently of the main bilge line.
The use of ejectors for pumping through the direct suction will be given special consideration.
</t>
  </si>
  <si>
    <t xml:space="preserve">C-1-10-6.5.1  General
The bilges of every main and essential auxiliary machinery spaces shall be capable of being pumped as follows:
- through the bilge suctions connected to the main bilge system, and
- through one direct suction connected to the largest independent bilge pump and having a diameter not less than that of the main bilge pipe.
Where all main and essential auxiliary machinery are located in a single watertight space, the bilge suctions are to be distributed and arranged in accordance with the provisions of [6.5.4].
</t>
  </si>
  <si>
    <t xml:space="preserve">C-1-10-6.5.4  Number and distribution of suctions in propulsion machinery spaces
a. In propulsion machinery spaces:
- where the bottom of the space, bottom plating or top of the double bottom slope down to the centreline by more than 5°, bilge suctions are to include at least two centreline suctions, i.e. one branch bilge suction and one direct suction
- where the bottom of the space is horizontal or slopes down to the sides and in all passenger vessels, bilge suctions are to be so arranged that the bilges can be completely pumped even under disadvantageous trim conditions.
b. Where the propulsion machinery space is located aft, suctions are normally to be provided on each side at the fore end and, except where not practicable due to the shape of the space, on each side at the aft end of the space.
c. In electrically propelled vessels, provision is to be made to prevent accumulation of water under electric generators and motors.
</t>
  </si>
  <si>
    <t xml:space="preserve">C-1-10-6.6.1  General
a. Except where otherwise specified, bilge suctions are to be branch bilge suctions, i.e. suctions connected to a bilge main.
b. Draining arrangements of tanks are to comply with the provisions of [7].
</t>
  </si>
  <si>
    <t xml:space="preserve">C-1-10-6.6.2  Fore and after peaks
Where the peak tanks are not connected to the ballast system, separate means of pumping are to be provided. Where the after peak terminates at the engine room, it may be drained to the engine room bilge through a pipe fitted with a shutoff valve. Similar emptying of the fore peak into an adjoining space is not permitted.
</t>
  </si>
  <si>
    <t xml:space="preserve">C-1-10-6.6.4  Bilge pumping arrangements are to be provided for cofferdams and void spaces.
</t>
  </si>
  <si>
    <t xml:space="preserve">C-1-10-6.6.3  Spaces above peak tanks
These spaces may either be connected to the bilge system or be pumped by means of hand-operated bilge pumps. Spaces above the after peak may be drained to the machinery space, provided that the drain line is fitted with a self-closing shutoff valve at a clearly visible and easily accessible position. The drain pipes shall have an inside diameter of at least 40 mm.
C-1-10-6.6.5  Chain lockers
Chain lockers may be connected to the main bilge system or drained by a hand pump. Draining to the fore peak tank is not permitted.
</t>
  </si>
  <si>
    <t>C-1-12-6.12.1  Unless otherwise specified, the provisions of [6.12.1] apply to ships having one of the service notations   bulk carrier ESP,   bulk carrier CSR ESP,   bulk carrier CSR BC-A ESP,   bulk carrier CSR BC-B ESP,   bulk carrier CSR BC-C ESP,   bulk carrier,   self-unloading bulk carrier ESP,   ore carrier ESP,   combination carrier/OBO ESP or   combination carrier/OOC ESP.
a.  Each cargo hold is to be fitted with the water level detectors, giving audible and visual alarms located on the navigation bridge, one when the water level above the inner bottom in any hold reaches a height of 0,5 m and another at a height not less than 15% of the depth of the cargo hold but not more than 2 m.
b.  The water level detectors are to be fitted in the aft end of the cargo holds. For cargo holds which are used for water ballast, an alarm overriding device may be installed. The visual alarms are to clearly discriminate between the two different water levels detected in each hold.
c.  Relevant documentation and drawings are to be submitted for review, including at least:
 - type approval of Water Ingress Detection System, i.e. sensors/detectors wiring and control panel
 - general arrangement of sensors and cables
 - power supply electrical diagram
 - detailed installation drawing of a sensor
 - copy of the DOC of compliance for the carriage of dangerous goods and BC Code attestation, if any.</t>
  </si>
  <si>
    <t xml:space="preserve">C-1-10-7.1.1  Independence of ballast lines
Ballast lines are to be entirely independent and distinct from other lines except where permitted in [5.4].
C-1-10-7.1.2  Prevention of undesirable communication between spaces or with the sea
Ballast systems in connection with bilge systems are to be so designed as to avoid any risk of undesirable communication between spaces or with the sea. See [6.2.3].
C-1-10-7.1.3  Alternative carriage of ballast water or other liquids and dry cargo
Holds and deep tanks designed for the alternative carriage of water ballast, fuel oil or dry cargo are to have their filling and suction lines provided with blind flanges or appropriate change-over devices to prevent any mishandling.
</t>
  </si>
  <si>
    <t>C-1-10-7.2.2  Pumps
At least two power driven ballast pumps are to be provided, one of which may be driven by the propulsion unit. Sanitary and general service pumps may be accepted as independent power ballast pumps.
Bilge pumps may be used for ballast water transfer provided the provisions of [6.7.3] are fulfilled.
Alternative means of deballasting, such as an eductor, may be accepted in lieu of a second ballast pump, subject to special consideration in each particular case.</t>
  </si>
  <si>
    <t xml:space="preserve">C-1-10-7.2.3  Passage of ballast pipes through tanks
If not contained in pipe tunnels, the ballast steel pipes passing through tanks intended to contain fresh water, fuel oil or liquid cargo are:
- to have reinforced thickness, as per  Tab 6
- to consist either of a single piece or of several pieces assembled by welding, by reinforced flanges - or by devices deemed equivalent for the application considered
- to have a minimal number of joints in these lines
- to have expansion bends in these lines within the tank, where needed
- not to have slip joints.
</t>
  </si>
  <si>
    <t>Steelships</t>
  </si>
  <si>
    <t>Ro-ro passenger</t>
  </si>
  <si>
    <t>Drainage of ro-ro cargo spaces</t>
  </si>
  <si>
    <t>Passenger</t>
  </si>
  <si>
    <t>Bilge system - General</t>
  </si>
  <si>
    <t>Number and capacity of bilge pumps</t>
  </si>
  <si>
    <t xml:space="preserve"> Location of bilge pumps</t>
  </si>
  <si>
    <t>Availability of bilge pumps</t>
  </si>
  <si>
    <t>Draining capability bilge system</t>
  </si>
  <si>
    <t>Direct bilge suction</t>
  </si>
  <si>
    <t>Control location valves &amp; pumps</t>
  </si>
  <si>
    <t>Damage to the bilge system</t>
  </si>
  <si>
    <t>Operation in the case of flooding</t>
  </si>
  <si>
    <t>Bilge system valve controls</t>
  </si>
  <si>
    <t>Drainage and pumping arrangements for vehicle, special category and ro-ro spaces protected by fixed pressure water-spraying systems</t>
  </si>
  <si>
    <t>Ballast water in fuel tanks</t>
  </si>
  <si>
    <t>Steering gear arrangement</t>
  </si>
  <si>
    <t>Steering gear system</t>
  </si>
  <si>
    <t>Oil-level gauges</t>
  </si>
  <si>
    <t>Auxiliary steering gear</t>
  </si>
  <si>
    <t>Passenger
Fishing</t>
  </si>
  <si>
    <t>Sounding pipes and level gauges</t>
  </si>
  <si>
    <t>System capabilities and operational information after a flooding casualty on passenger ships</t>
  </si>
  <si>
    <t>Systems to remain operational after a fire casualty</t>
  </si>
  <si>
    <t xml:space="preserve">311 
313 
</t>
  </si>
  <si>
    <t>Special purpose</t>
  </si>
  <si>
    <t>C-1-10-6.8.5  The diameter of emergency bilge suction pipes is to be:
at least two thirds of the diameter of the pump inlet in the case of steamships
the same as the diameter of the pump inlet in the case of motorships.
Where the emergency suction is connected to a pump other than a main circulating or cooling pump, the suction is to be the same diameter as the main inlet of the pump.</t>
  </si>
  <si>
    <t xml:space="preserve">C-1-10-6.11.1 Bilge pipes are not to pass through double bottom compartments. If such arrangement is unavoidable, the parts of bilge pipes passing through double bottom compartments are to have reinforced thickness, as per  Tab 6 for steel pipes.
</t>
  </si>
  <si>
    <t>XV-I-II 023 - Where the double bottom extends the full length of the machinery space and forms bilges at the sides of the machinery space, one branch bilge suction pipe and one direct bilge suction pipe shall lead to each side bilge.
XV-I-II 024 - Where the double bottom extends the full length and breadth of the machinery space and is fitted with bilge wells, one branch bilge suction pipe and one direct bilge suction pipe shall lead to each of the two bilge wells having a capacity of not less than 150 L and situated one at each side of the machinery space.
XV-I-II 025 - Where there is no double bottom, one branch bilge suction pipe and one direct bilge suction pipe shall lead to accessible locations as near to the centre line of the ship as practicable and, if the rise of the floor is less than 5°, a branch bilge suction pipe shall lead to each side of the machinery space.
XV-I-II 027 - For ships referred to in item 26 there shall be a direct bilge suction pipe from each independent bilge pump situated in the machinery spaces except that not more than two direct suction pipes, one on the port side and one on the starboard side, are required to be fitted in each machinery space.
XV-I-II 028 - Bilge suction pipes shall lead to the forward sides of the machinery spaces where the bilge-water normally drains forward.</t>
  </si>
  <si>
    <t>Number and distribution of suctions in boiler and auxiliary machinery spaces</t>
  </si>
  <si>
    <t xml:space="preserve">351 
321 
345 
362 
363 </t>
  </si>
  <si>
    <t xml:space="preserve">300 
313 
32x 
33x 
34x 
36x </t>
  </si>
  <si>
    <t>Oily bilge water tank</t>
  </si>
  <si>
    <t xml:space="preserve">C-1-10-6.12.2  Unless otherwise specified, the provisions of [6.12.2] apply to ships having a length L of less than 80 m and 500 GT and over, with the service notation   general cargo ship (see Note 1),   container ship,   ro-ro cargo ship,   PCT carrier (see Note 2),   refrigerated cargo ship,   livestock carrier,   deck ship (see Note 2),   liquefied gas carrier or   LNG bunkering ship (of LPG type) (see Note 2) or   supply (see Note 2).
a.  Ships with a single cargo hold below the freeboard deck, or with cargo holds below the freeboard deck which are not separated by at least one bulkhead made watertight up to the freeboard deck, are to be fitted with water level detectors, giving audible and visual alarms located on the navigation bridge, one when the water level above the inner bottom reaches a height of not less than 0,3 m and another at a height not more than 15% of the mean depth of the cargo hold.
b.  The water level detectors are to be fitted in the aft end of the cargo hold or above its lowest part where the inner bottom is not parallel to the designed waterline. Where webs or partial watertight bulkheads are fitted above the inner bottom, the Society may require the fitting of additional detectors. The visual alarms are to clearly discriminate between the two different water level detectors in hold.
c.  The water level detectors need not to be fitted in ships complying with the requirements in [6.12.1] or in ships having watertight side compartments each side of the cargo hold length extending vertically at least from the inner bottom to the freeboard deck.
d.  Relevant documentation and drawings are to be submitted for review, including at least:
 - type approval of Water Ingress Detection System, i.e. sensors/detectors wiring and control panel
 - general arrangement of sensors and cables
 - power supply electrical diagram
 - detailed installation drawing of a sensor
 - copy of the DOC of compliance for the carriage of dangerous goods and BC Code attestation, if any.
Note 1 :   The requirements also apply to dedicated cement carriers, dedicated forest product carriers, dedicated woodchip carriers, timber and log carriers, with the same conditions.
Note 2 :   The scope of application for this type of ships is subject to special consideration.
</t>
  </si>
  <si>
    <t>Specific requirements for general cargo ships</t>
  </si>
  <si>
    <t xml:space="preserve">D-1-6-4.1.1  General
Each watertight compartment shall be fitted with a bilge level alarm.
</t>
  </si>
  <si>
    <t>Bilge level alarm</t>
  </si>
  <si>
    <t>D-1-6-4.1.2  Number and capacity of bilge pumps
A bilge pumping system with permanently installed pipe work shall be available.
The number and capacity of bilge pumps are to be in compliance with Pt C, Ch 1, Sec 10, [6.7].
Further bilge pumps may be required according to size and propulsion power.</t>
  </si>
  <si>
    <t xml:space="preserve">D-1-6-5.2.2 - The following are admissible for use as an emergency power source:
 a. auxiliary generator sets with their own independent fuel supply and independent cooling system which, in the event of a power failure, turn on and take over the supply of power within 45 seconds automatically or, if they are located in the immediate vicinity of the wheelhouse or any other location permanently manned by crew members, can be turned on manually, or
 b. storage batteries, which, in the event of a power failure, turn on automatically or, if they are located in the immediate vicinity of the wheelhouse or any other location permanently manned by crew members, can be turned on manually. They shall be capable of powering the above mentioned power consumers throughout the prescribed period without recharging and without an unacceptable voltage reduction.
</t>
  </si>
  <si>
    <t>Flexible hoses</t>
  </si>
  <si>
    <t>Standby pumps for fuel oil supply</t>
  </si>
  <si>
    <t>Overflow tanks</t>
  </si>
  <si>
    <t>321 
361</t>
  </si>
  <si>
    <t>Overflow pipes - Construction</t>
  </si>
  <si>
    <t>Additional requirements</t>
  </si>
  <si>
    <t>32x</t>
  </si>
  <si>
    <t>Availability</t>
  </si>
  <si>
    <t>Arrangement</t>
  </si>
  <si>
    <t>Fuel-oil systems</t>
  </si>
  <si>
    <t>Overpressure</t>
  </si>
  <si>
    <t>General design</t>
  </si>
  <si>
    <t>Filling system</t>
  </si>
  <si>
    <t>Independence of fuel oil transfer lines</t>
  </si>
  <si>
    <t>Alternative carriage of fuel oil, ballast water or other liquid and dry cargo</t>
  </si>
  <si>
    <t>Transfer pumps</t>
  </si>
  <si>
    <t>Location of fuel oil tanks</t>
  </si>
  <si>
    <t>Free-standing fuel oil tanks</t>
  </si>
  <si>
    <t>Protection against oil pollution in the event of collision or grounding (Vtotal &gt; 600m3)</t>
  </si>
  <si>
    <t>Maximum capacity of oil fuel tanks</t>
  </si>
  <si>
    <t>Oil fuel tank protection</t>
  </si>
  <si>
    <t>Suction wells</t>
  </si>
  <si>
    <t>Valves</t>
  </si>
  <si>
    <t>Oil fuel tank design</t>
  </si>
  <si>
    <t>Filling and suction pipes</t>
  </si>
  <si>
    <t>Remote control of valves</t>
  </si>
  <si>
    <t>Fuel oil heating - General</t>
  </si>
  <si>
    <t>Tank heating systems</t>
  </si>
  <si>
    <t>Fuel oil heaters</t>
  </si>
  <si>
    <t>Heavy fuel oil - General</t>
  </si>
  <si>
    <t xml:space="preserve">C-1-10-11.8.1
a.  Heavy fuel oils used in diesel engines are to be purified and filtered according to the engine manufacturer's requirements.
b.  Provisions are to be made to avoid inadvertent entry of non-purified heavy fuel into the daily service tanks, in particular through the overflow system.
</t>
  </si>
  <si>
    <t>Tank drains</t>
  </si>
  <si>
    <t>Purifiers</t>
  </si>
  <si>
    <t>Fuel supply system</t>
  </si>
  <si>
    <t xml:space="preserve">C-1-10-11.9.1.b  In ships where heavy fuel oil and marine diesel oil are used, a change-over system from one fuel to the other is to be provided. This system is to be so designed as to avoid:
overheating of marine diesel oil
inadvertent ingress of heavy fuel oil into marine diesel oil tanks.
c.  When necessary, arrangements are to be made for cooling the marine diesel oil from engine return lines.
</t>
  </si>
  <si>
    <t>Same type of fuel supplied from the same fuel source</t>
  </si>
  <si>
    <t>Change-over system various fuels</t>
  </si>
  <si>
    <t>Cooling engine return lines</t>
  </si>
  <si>
    <t xml:space="preserve">C-1-10-11.9.2.c  For "one fuel ship", where main and auxiliary engines and boiler(s) are operated with Heavy Fuel Oil (HFO), the arrangements complying with this regulation or acceptable "equivalent arrangements" shall be provided.
The arrangements complying with this regulation shall comprise at least the following tanks:
 - two (2) HFO service tanks, each of a capacity sufficient for at least 8 h operation of main engine(s), auxiliary engines and auxiliary boiler(s), and
 - one (1) Marine Diesel Oil (MDO) service tank for initial cold starting or repair work of engines or boilers.
Acceptable "equivalent arrangements" shall comprise at least:
 - one (1) HFO service tank with a capacity sufficient for at least 8 h operation of main engine(s), auxiliary engines and auxiliary boiler(s), and
 - one (1) MDO service tank with a capacity sufficient for at least 8 h operation of main engine(s), auxiliary engines and auxiliary boiler(s), and
 - for pilot burners of auxiliary boilers, if provided, an additional MDO service tank for 8 h may be required.
This arrangement only applies where main and auxiliary engines can operate with HFO under all load conditions and, in the case of main engines, during manoeuvring.
</t>
  </si>
  <si>
    <t>Content service tank</t>
  </si>
  <si>
    <t>Number of service tanks</t>
  </si>
  <si>
    <t xml:space="preserve">C-1-10-11.9.2.d  Where main engines and auxiliary boiler(s) are operated with Heavy Fuel Oil (HFO) and auxiliary engines are operating with Marine Diesel Oil (MDO), the arrangements complying with this regulation or acceptable "equivalent arrangements" shall be provided.
The arrangements complying with this regulation shall comprise at least the following tanks:
two (2) HFO service tanks, each of a capacity sufficient for at least 8 h operation of main engine(s) and auxiliary boiler(s), and
two (2) MDO service tanks each of a capacity sufficient for at least 8 h operation of auxiliary engines.
Acceptable "equivalent arrangements" shall comprise at least:
one (1) HFO service tank with a capacity sufficient for at least 8 h operation of main engine(s) and auxiliary boiler(s), and
two (2) MDO service tanks, each of a capacity sufficient for:
4 h operation of main engine(s), auxiliary engines and auxiliary boiler(s), or
8 h operation of auxiliary engines and auxiliary boiler(s).
</t>
  </si>
  <si>
    <t>Arrangement service tanks with one fuel</t>
  </si>
  <si>
    <t>Arrangement service tanks with various fuels</t>
  </si>
  <si>
    <t>Rapid fuel change over</t>
  </si>
  <si>
    <t>Continious supply</t>
  </si>
  <si>
    <t>C-1-10-11.9.3.b  The fuel oil supply system is to be capable of supplying the fuel oil necessary to generate enough steam for propulsion purposes and essential services with one unit out of action.</t>
  </si>
  <si>
    <t>C-1-10-11.9.3.c  A quick-closing valve is to be provided on the fuel supply to the burners of each boiler, arranged to be easily operated in case of emergency, either directly or by remote control.</t>
  </si>
  <si>
    <t>C-1-10-11.9.3.d  The fuel supply to the burners is to be capable of being automatically cut off when required under Ch 1, Sec 3, [5.1.8].</t>
  </si>
  <si>
    <t>C-1-10-11.9.3.e  Burners are to comply with Ch 1, Sec 3, [2.2.5].</t>
  </si>
  <si>
    <t>C-1-10-11.9.3.f  Where burners are provided with fuel oil flow-back to the pump suctions or other parts under pressure, non-return devices are to be provided to prevent fuel oil from flowing back to the burners when the oil supply is cut off.</t>
  </si>
  <si>
    <t>C-1-10-11.9.3.g  Where fuel oil is supplied to the burners by gravity, a double filter satisfying the provisions of item a) is to be provided in the supply line.</t>
  </si>
  <si>
    <t>C-1-10-11.9.3.h  Fuel oil supply systems are to be entirely separate from feed, bilge, ballast and other piping systems.</t>
  </si>
  <si>
    <t>Boilers to suply steam</t>
  </si>
  <si>
    <t xml:space="preserve">C-1-10-11.9.3.a  In ships where boilers burning oil under pressure are installed to supply steam to the propulsion machinery or auxiliary machinery serving essential services, the fuel oil supply system is to include at least the following equipment:
 - Two independently driven fuel oil service pumps, each one of a capacity sufficient to supply the boilers at their rated output. The pumps are to be arranged such that one may be overhauled while the other is in service.
 - Filters or strainers fitted on the suction lines and so arranged that they can be cleaned without interrupting the fuel supply. For that purpose, two filters or strainers fitted in parallel, or one duplex type with a change over facility, may be accepted.
 - Two heaters in the case that fuel oil heating is required, each one of a capacity sufficient to supply heated fuel oil to the boilers at their normal operating capacity. The heaters are to be arranged such that one may be overhauled while the other is in service.
For boiler plants where exhaust gas boiler is fitted, such that steam service essential for propulsion can be supplied without the operation of the fuel oil system of the auxiliary boiler and that other essential services, as defined in Pt A, Ch 1, Sec 1, [1.2.1], are not to remain inoperable, only one fuel oil heater may be accepted.
</t>
  </si>
  <si>
    <t>Emergency stop boiler supply</t>
  </si>
  <si>
    <t>Automatic stop boiler supply</t>
  </si>
  <si>
    <t>Compliance boilers</t>
  </si>
  <si>
    <t>Non-return devices boiler supply</t>
  </si>
  <si>
    <t>Boiler supply by gravity</t>
  </si>
  <si>
    <t>Independence</t>
  </si>
  <si>
    <t xml:space="preserve">C-1-10-11.9.4.f  Where fuel oils require pre-heating in order to have the appropriate viscosity when being injected in the engine, the following equipment is to be provided in the fuel oil line:
 - one viscosity control and monitoring system
 - two pre-heaters, one serving as a standby for the other.
</t>
  </si>
  <si>
    <t>Suction pipes service tanks</t>
  </si>
  <si>
    <t>Filters for engines</t>
  </si>
  <si>
    <t>Redundancy fuel oil booster pump</t>
  </si>
  <si>
    <t>Pre-heating fuel for engines</t>
  </si>
  <si>
    <t>De-aeration tanks fitted in pressurised fuel oil return lines</t>
  </si>
  <si>
    <t>Excess fuel oil from pumps or injectors</t>
  </si>
  <si>
    <t>High pressure fuel oil pipes</t>
  </si>
  <si>
    <t>Connections within the fuel supply and spill lines</t>
  </si>
  <si>
    <t>Isolating fuel supply and spill piping to individual engines</t>
  </si>
  <si>
    <t>32x 
351</t>
  </si>
  <si>
    <t>Monitoring</t>
  </si>
  <si>
    <t>Automatic controls</t>
  </si>
  <si>
    <t>322 
430</t>
  </si>
  <si>
    <t>Remote controls</t>
  </si>
  <si>
    <t>Power supply to fuel equipment</t>
  </si>
  <si>
    <t>Remote control of the valve fitted onto emergency generator fuel tank</t>
  </si>
  <si>
    <t>Positions of the remote controls</t>
  </si>
  <si>
    <t>Pipe thickness</t>
  </si>
  <si>
    <t>Passage of fuel oil pipes through tanks</t>
  </si>
  <si>
    <t>Passage of pipes through fuel oil tanks</t>
  </si>
  <si>
    <t>Segregation of fuel oil purifiers</t>
  </si>
  <si>
    <t>C-1-10-11.12.3  Purifiers for heated fuel oil are to be in accordance with Ch 4, Sec 6, [4.1.2].</t>
  </si>
  <si>
    <t>Material of valves</t>
  </si>
  <si>
    <t>Draining of fore and aft peaks</t>
  </si>
  <si>
    <t>C-1-10-6.5.6  In boiler and auxiliary compartments, bilge suctions are to include:
 - bilge branch suctions distributed as required in [6.4.2] to [6.4.5] for cargo holds
 - one direct suction.</t>
  </si>
  <si>
    <t>311 
346</t>
  </si>
  <si>
    <t xml:space="preserve">C-1-10-5.3.2  
a.  Where penetrations of watertight bulkheads or decks and fire divisions are necessary for piping and ventilation, arrangements are to be made to maintain the watertight integrity and fire integrity. See also Ch 4, Sec 5, [2].
Note 1 :   In cargo ships, the Society may permit relaxation in the watertightness of opening above the freeboard deck, provided that it is demonstrated that any progressive flooding can be easily controlled and that the safety of the ship is not impaired
b.  Lead or other heat sensitive materials are not to be used in piping systems which penetrate watertight subdivision bulkheads or decks, where deterioration of such systems in the event of fire would impair the watertight integrity of the bulkhead or decks.
This applies in particular to the following systems:
 - bilge system
 - ballast system
 - scuppers and sanitary discharge systems.
c.  Where bolted connections are used when passing through watertight bulkheads or decks, the bolts are not to be screwed through the plating. Where welded connections are used, they are to be welded on both sides of the bulkhead or deck.
d.  Penetrations of watertight bulkheads or decks and fire divisions by plastic pipes are to comply with Ch 1, App 3, [3.6.2].
</t>
  </si>
  <si>
    <t>Part III: SOLAS chapter II-1 - 2.3.1.1 Regulation 8-1 does not apply to vessels engaged on a domestic voyage that does not exceed Near Coastal 2 voyage.</t>
  </si>
  <si>
    <t>2.6.1.1 Vessels engaged on a voyage within Eastern Canadian waters and operating in slush ice conditions that are not built to Classification Society Rules for navigation in ice shall ensure the sea inlets are designed and constructed to prevent slush and/or spray ice from blocking the seawater cooling intakes and related air vents.
2.6.1.2 For Guidance, see MSC/Circ.504 Guidance on design and construction of sea inlets under slush ice conditions, or other appropriate guidelines providing an equivalent safety level.</t>
  </si>
  <si>
    <t xml:space="preserve">33x </t>
  </si>
  <si>
    <t>D-11-4-1.1.1 
a.  The bilge pumping system required in Pt C, Ch 1, Sec 10, [6] shall be capable of operation under all practicable conditions after a casualty, whether the ship is upright or listed. For this purpose, wing suctions shall generally be fitted except in narrow compartments at the end of the ship where one suction may be sufficient. In compartments of unusual form, additional suctions may be required.
b.  Arrangements shall be made whereby water in the compartment may find its way to the suction pipes.
c.  Where, for particular compartments, the Society is satisfied that the provisions of drainage may be undesirable, it may allow such provision to be dispensed with if damage stability calculations carried out in accordance with Ch 11, Sec 3, [2] show that the survival capability of the ship will not be impaired.</t>
  </si>
  <si>
    <t xml:space="preserve">D-11-4-1.2.1  
a) At least three power pumps shall be fitted connected to the bilge main, one of which may be driven by the propulsion machinery. Where the bilge pump numeral is 30 or more, one additional independent power pump shall be provided.
The bilge pump numeral shall be calculated as follows:
when P1 is greater than P: 
bilge pump numeral = 72 * [(M + 2P1) / (V + P1 - P)]
in other cases:
bilge pump numeral = 72 * [(M + 2P1) / V]
where:
L : Length of the ship (metres), as defined in  Pt B, Ch 1, Sec 2, [3.1]
M : Volume of the machinery space (cubic metres), as defined in Ch 11, Sec 3, [2.1.5], that is below the bulkhead deck; with the addition thereto of the volume of any permanent oil fuel bunkers which may be situated above the inner bottom and forward of, or abaft, the machinery space
P : Whole volume of the passenger and crew spaces below the bulkhead deck (cubic metres), which are provided for the accommodation and use of passengers and crew, excluding baggage, store, provision and mail rooms
V : Whole volume of the ship below the bulkhead deck (cubic metres).
P1 = K·N
where:
N : Number of passengers for which the ship is to be certified
K = 0,056 L
However, where the value of K·N is greater than the sum of P and the whole volume of the actual passenger spaces above the bulkhead deck, the figure to be taken as P1 is that sum or two-thirds K·N, whichever is the greater.
Each of the above pumps is to have a capacity not less than that required in Pt C, Ch 1, Sec 10, [6.7.4].
For use of ejectors in lieu of bilge pumps, see Pt C, Ch 1, Sec 10, [6.7.2].
</t>
  </si>
  <si>
    <t xml:space="preserve">D-11-4-1.2.2 Where practicable, the power bilge pumps shall be placed in separate watertight compartments and so arranged or situated that these compartments will not be flooded by the same damage. If the main propulsion machinery, auxiliary machinery and boilers are in two or more watertight compartments, the pumps available for bilge service shall be distributed as far as is possible throughout these compartments.
</t>
  </si>
  <si>
    <t xml:space="preserve">D-11-4-1.2.4  With the exception of additional pumps which may be provided for peak compartments only, each required bilge pump shall be so arranged as to draw water from any space required to be drained.
</t>
  </si>
  <si>
    <t xml:space="preserve">D-11-4-1.3.1
a.  In passenger ships subject to subdivision regulations, independent power bilge pumps situated in machinery and/or boiler spaces shall have direct suctions from these spaces, except that not more than two such suctions shall be required in any one space.
b.  Where two or more such suctions are provided in one compartment, there shall be at least one on each side of the ship.
c.  The Society may require independent power bilge pumps situated in other spaces to have separate direct suctions.
</t>
  </si>
  <si>
    <t xml:space="preserve">D-11-4-1.4.1 The spindles of the sea inlet and direct suction valves shall extend well above the engine room platform.
Where the circulating pumps are driven by electric motors, their starting equipment shall be located at, or above, the level of the motors.
</t>
  </si>
  <si>
    <t xml:space="preserve">D-11-4-1.5.3  All cocks and valves referred in [1.5.2] which can be operated from above the bulkhead deck shall have their controls at their place of operation clearly marked and shall be provided with means to indicate whether they are open or closed.
</t>
  </si>
  <si>
    <t xml:space="preserve">C-1-10-6.5.2  The branch bilge suction is to be connected to the bilge main.
</t>
  </si>
  <si>
    <t>Branch bilge suction</t>
  </si>
  <si>
    <t>C-1-10-6.5.3  The direct suction is to be led direct to an independent power bilge pump and so arranged that it can be used independently of the main bilge line.
The use of ejectors for pumping through the direct suction will be given special consideration.</t>
  </si>
  <si>
    <t>Direct suction</t>
  </si>
  <si>
    <t>C-1-10-6.5.4  The emergency bilge suction is to be led directly from the drainage level of the machinery space to a main circulating (or cooling) pump and fitted with a non-return valve.
In ships where, in the opinion of the Society, the main circulating (or cooling) pump is not suitable for this purpose, the emergency bilge suction is to be led from the largest available independent power driven pump to the drainage level of the machinery space. Such a pump is not to be a bilge pump. Its capacity when the emergency suction is operating is to be at least equal to the required capacity of each bilge pump as determined in [6.7.4].
The emergency bilge suction is to be located at the lowest possible level in the machinery spaces.</t>
  </si>
  <si>
    <t>Emergency bilge suction</t>
  </si>
  <si>
    <t xml:space="preserve">C-1-10-6.5.5  
a.  In propulsion machinery spaces, bilge suctions are to include:
 - where the bottom of the space, bottom plating or top of the double bottom slope down to the centreline by more than 5°, at least two centreline suctions, i.e. one branch bilge suction and one direct suction, or
 - where the bottom of the space is horizontal or slopes down to the sides and in all passenger ships, at least two suctions, i.e. one branch bilge suction and one direct suction, on each side, and
 - one emergency bilge suction.
b.  If the tank top is of a particular design or shows discontinuity, additional suctions may be required.
c.  Where the propulsion machinery space is located aft, suctions are normally to be provided on each side at the fore end and, except where not practicable due to the shape of the space, on each side at the aft end of the space.
d.  In electrically propelled ships, provision is to be made to prevent accumulation of water under electric generators and motors.
</t>
  </si>
  <si>
    <t>Number and distribution of suctions in propulsion machinery spaces</t>
  </si>
  <si>
    <t xml:space="preserve">541.1 - The fuel system shall be in accordance with Class rules and regulatory body requirements. The fuel system shall provide:
a. A means of filtering fuel via the filtration system described in 541;
b. A means of stripping fuel tanks;
c. A means of transferring fuel between fuel storage and service tanks (independent of purifier);
d. A means of transferring fuel to the service tanks serving the diesels via the purifier(s);
e. A means of filling storage tanks and off-loading fuel to shore;
f. A means of recirculating fuel in the service tanks via the purifier;
g. A means of continuously filling servicing tanks via the purifier and allowing continuous overflow to storage tanks;
h. A means of sampling fuel at the fuel receiving station; and
i. A sampling cock at the bottom of each storage tank.
</t>
  </si>
  <si>
    <t>Protection against corrosion and erosion</t>
  </si>
  <si>
    <t>C-1-10-5.8.2.c  If galvanised steel pipes are used for sea water systems, the water velocity is not to exceed 3 m/s.</t>
  </si>
  <si>
    <t>C-1-10-5.8.2.d  If copper pipes are used for sea water systems, the water velocity is not to exceed 2 m/s.</t>
  </si>
  <si>
    <t>I ✠ Hull ✠ Mach, Ro-Ro Passenger Ship, Coastal Area, Ice Class 1B / COLD (-25), ✠ AVM-DPS / ✠ AUT-IMS / Battery System</t>
  </si>
  <si>
    <t>C-1-10-6.4.6  Drainage of cargo spaces, other than ro-ro spaces, intended for the carriage of motor vehicles with fuel in their tanks for their own propulsion
and fitted with a fixed pressure water-spraying fire-extinguishing system, the pumping arrangement is to be such as to prevent the build-up of free surfaces. If this is not possible, the adverse effect upon stability of the added weight and free surface of water is to be taken into account to the extent deemed necessary by the Society in its approval of the stability information. See Part B, Chapter 3.</t>
  </si>
  <si>
    <t xml:space="preserve">C-1-10-2.9.2  Level gauges used in flammable oil systems are to be of a type approved by the Society and are subject to the following conditions:
 - in passenger ships, they are not to require penetration below the top of the tank and their failure or overfilling of the tanks is not to permit release of fuel.
 - in cargo ships, their failure or overfilling of the tank is not to permit release of fuel into the space. The use of cylindrical gauges is prohibited. The Society may permit the use of oil-level gauges with flat glasses and self-closing valves between the gauges and fuel tanks.
 - their glasses are to be made of heat-resistant material and efficiently protected against shocks.
</t>
  </si>
  <si>
    <t>Prevention of ice build-up inside pipes and associated fittings</t>
  </si>
  <si>
    <t>313
346
351
622
670</t>
  </si>
  <si>
    <t>Special arrangements for sounding  pipes of flammable oil tanks</t>
  </si>
  <si>
    <t>Level gauges used in flammable oil systems</t>
  </si>
  <si>
    <t>Open end of air pipes</t>
  </si>
  <si>
    <t>D-12-2-2.3.4  The open end of air pipes terminating within a superstructure is to be at least 1 m above the waterline when the ship heels to an angle of 15 degrees, or the maximum angle of heel during intermediate stages of flooding, as determined by direct calculation, whichever is the greater.Where no information regarding the above angle of heel is available, the open end of air pipes terminating within a superstructure is to be at least 1 m above the waterline when the ship heels to an angle of 15° or 0,5 m above the waterline when the ship heels to an angle of 15° from the bulkhead deck, whichever is the greater.
Alternatively, air pipes from tanks other than oil tanks may discharge through the side of the superstructure. The provisions of this paragraph are without prejudice to the provisions of the International Convention on Load Lines in force.</t>
  </si>
  <si>
    <t>Steelships
Ro-Ro Passenger Ships</t>
  </si>
  <si>
    <t>Suction and discharge valves below the waterline</t>
  </si>
  <si>
    <t>31x
33x
34x</t>
  </si>
  <si>
    <t>C-1-10-5.5.4
a.  The location of controls of any valve  serving a sea inlet, a discharge below the waterline or a bilge  injection system is to comply with Pt F, Ch 3, Sec 1, [3.4.3]. 
b.  The National Authority of the country in which the ship is to be registered may have different criteria.</t>
  </si>
  <si>
    <t>Monitoring bilge wells</t>
  </si>
  <si>
    <t>Monitoring influx of liquid</t>
  </si>
  <si>
    <t>393</t>
  </si>
  <si>
    <t>Valves with remote control</t>
  </si>
  <si>
    <t xml:space="preserve">C-1-10-2.7.3 
a.  Unless otherwise specified, the valves and cocks which can not be fitted in places where they are at all times readily accessible are to be provided with remote control.
All valves which are provided with remote control are also to be designed for local manual operation.
b.  The remote control system and means of local operation are to be independent. For shipside valves and valves on the collision bulkhead, the means for local manual operation are to be permanently attached.
c.  For submerged valves in ballast, cargo, or other tanks where accepted by the Society, local manual operation may be by extended spindle or portable hand pump.
The manual operation by hand pump is to have the control lines to each submerged valve provided with the quick coupling connections, as close to the valve actuator as practicable, to allow easy connection of the hand pump. For shipside valves and valves on the collision bulkhead, the hand pump is to be permanently attached and fitted to the quick coupling connection. For other valves, not less than two portable hand pumps are to be provided.
d.  In the case of valves which are to be provided with remote control in accordance with the Rules, opening and/or closing of the valves by local manual means is not to render the remote control system inoperable.
e.  Power failure of the remote control system is not to cause an undesired change of the valve position.
f.  Unless otherwise specified, indicators are to be provided on the remote controls to show whether the valves are open or closed.
The indicators for local manual control are to comply with [2.7.2], item e).
</t>
  </si>
  <si>
    <t xml:space="preserve">C-1-10-2.8.4 
Gratings are to have a free flow area not less than twice the total section of the pipes connected to the inlet.
When gratings are secured by means of screws with a countersunk head, the tapped holes provided for such screws are not to pass through the plating or doubling plates outside distance pieces or chests.
Screws used for fixing gratings are not to be located in the corners of openings in the hull or of doubling plates.
In the case of large sea inlets, the screws used for fixing the gratings are to be locked and protected from corrosion.
When gratings are cleared by use of compressed air or steam devices, the chests, distance pieces and valves of sea inlets and outlets thus arranged are to be so constructed as to withstand the maximum pressure to which they may be subjected when such devices are operating.
For additional class notation   INWATERSURVEY, see Pt F, Ch 11, Sec 3.
</t>
  </si>
  <si>
    <t xml:space="preserve"> Gratings on outboard connections</t>
  </si>
  <si>
    <t>COLD</t>
  </si>
  <si>
    <t>Fire mains and hydrants</t>
  </si>
  <si>
    <t>Ready availability of water supply</t>
  </si>
  <si>
    <t>Diameter of fire mains</t>
  </si>
  <si>
    <t>Pressure at hydrants</t>
  </si>
  <si>
    <t>International shore connection</t>
  </si>
  <si>
    <t>Structural protection of Vehicle, Special Category and Ro-ro Spaces</t>
  </si>
  <si>
    <t>313
321</t>
  </si>
  <si>
    <t>Fixed water-based fire-fighting systems for ro-ro spaces, vehicle spaces and special category spaces</t>
  </si>
  <si>
    <t>102 
31x 
331 
341</t>
  </si>
  <si>
    <t xml:space="preserve">102 
31x 
331 
341 </t>
  </si>
  <si>
    <t>Design of lubricating oil tanks</t>
  </si>
  <si>
    <t>Lubricating oil heaters</t>
  </si>
  <si>
    <t>Lubricating oil purification</t>
  </si>
  <si>
    <t>333 361</t>
  </si>
  <si>
    <t>C-1-10-12.4.2  For auxiliary engines with their own lubricating pump, no additional pump is required.
For auxiliary engines with a common lubricating system, at least two pumps are to be provided. However, when such engines are intended for non-essential services, no additional pump is required.</t>
  </si>
  <si>
    <t>Lubrication of auxiliary engines</t>
  </si>
  <si>
    <t>Lubrication of propulsion engines</t>
  </si>
  <si>
    <t>Lubricating oil piping systems</t>
  </si>
  <si>
    <t>32x 
36x 
62x</t>
  </si>
  <si>
    <t>Protection of flammable oil systems against overpressure</t>
  </si>
  <si>
    <t>Protection of pump and compressor discharges against overpressure</t>
  </si>
  <si>
    <t>De-icing air vent heads</t>
  </si>
  <si>
    <t>Sounding and de-aeration</t>
  </si>
  <si>
    <t>Temperatures &amp; ventilation inside machinery compartments</t>
  </si>
  <si>
    <t>Temperatures of working liquids</t>
  </si>
  <si>
    <t xml:space="preserve">321 361 610 </t>
  </si>
  <si>
    <t xml:space="preserve">311 312 351 346 622 </t>
  </si>
  <si>
    <t>Prevention of ice build-up inside pipes and
associated fittings</t>
  </si>
  <si>
    <t xml:space="preserve">313 650 </t>
  </si>
  <si>
    <t>Prevention of ice build-up in air intakes</t>
  </si>
  <si>
    <t>Arrangement of pipes subject to ice build-up</t>
  </si>
  <si>
    <t>Instrumentation</t>
  </si>
  <si>
    <t>Services to be considered for de-icing
arrangement</t>
  </si>
  <si>
    <t>AC unit</t>
  </si>
  <si>
    <t>321 341</t>
  </si>
  <si>
    <t>Operation of the propulsion system and other
essential systems</t>
  </si>
  <si>
    <t>211 411</t>
  </si>
  <si>
    <t>Sea inlet and overboard discharge de-icing</t>
  </si>
  <si>
    <t>311 312</t>
  </si>
  <si>
    <t>Ballast tank de-icing</t>
  </si>
  <si>
    <t>Pump arrangement</t>
  </si>
  <si>
    <t>650 670</t>
  </si>
  <si>
    <t>Air vents heads</t>
  </si>
  <si>
    <t>Design of the sea inlets</t>
  </si>
  <si>
    <t>311 312 333</t>
  </si>
  <si>
    <t>Design of heating systems intended for
ballast tanks</t>
  </si>
  <si>
    <t>Bubbling systems</t>
  </si>
  <si>
    <t>Prevention of tank over-pressurisation</t>
  </si>
  <si>
    <t>Supporting of pipes</t>
  </si>
  <si>
    <t>351 371</t>
  </si>
  <si>
    <t>Gutterways</t>
  </si>
  <si>
    <t>AUT-IMS</t>
  </si>
  <si>
    <t>Fastening of connections</t>
  </si>
  <si>
    <t>LAH on tanks</t>
  </si>
  <si>
    <t>321 322 361</t>
  </si>
  <si>
    <t>Fire detection</t>
  </si>
  <si>
    <t>Emergency stop of machinery space ventilation</t>
  </si>
  <si>
    <t>Alarm in the event of flooding in machinery spaces</t>
  </si>
  <si>
    <t>Compressed air supplied from two sources</t>
  </si>
  <si>
    <t>Air vessels</t>
  </si>
  <si>
    <t>Backup air supply</t>
  </si>
  <si>
    <t>Continuous and automatic supply</t>
  </si>
  <si>
    <t>Oiling supply air</t>
  </si>
  <si>
    <t>Hydraulic construction requirements</t>
  </si>
  <si>
    <t xml:space="preserve">C-1-10-12.7.1  Remote control of valves
Lubricating oil tanks with a capacity of 500 litres and above are to be fitted with remote controlled valves in accordance with the provisions of [11.6.4].
The remote controlled valves need not be arranged for storage tanks  on which valves are normally closed except during transfer operation, or where it is determined that an unintended operation of a quick  closing  valve  on the oil lubricating tank would endanger the safe operation of the main propulsion and essential auxiliary machinery.
</t>
  </si>
  <si>
    <t xml:space="preserve">C-1-10-12.7.2  Filling and suction pipes
Filling and suction pipes are to comply with the provisions of [11.6.3].
</t>
  </si>
  <si>
    <t xml:space="preserve">C-1-10-12.7.3  Air and overflow pipes
Air and overflow pipes are to comply with the provisions of [9.1] and [9.3].
</t>
  </si>
  <si>
    <t xml:space="preserve">C-1-10-12.7.4  Sounding pipes and level gauges
Safe and efficient means of ascertaining the amount of lubricating oil contained in the tanks are to be provided.
Sounding pipes are to comply with the provisions of [9.2].
Oil-level gauges complying with [2.9.2] may be used in place of sounding pipes.
Gauge cocks for ascertaining the level in the tanks are not to be used.
</t>
  </si>
  <si>
    <t xml:space="preserve">C-1-10-12.7.5  Oil collecting tanks for engines (sump)
In ships required to be fitted with a double bottom, wells for lubricating oil under main engines may be permitted by the Society provided it is satisfied that the arrangements give protection equivalent to that afforded by a double bottom complying with Pt B, Ch 4, Sec 4.
Where, in ships required to be fitted with a double bottom, oil collecting tanks extend to the outer bottom, a valve is to be fitted on the oil drain pipe, located between the engine sump and the oil drain tank. This valve is to be capable of being closed from a readily accessible position located above the working platform.
Alternative arrangements will be given special consideration.
Oil collecting pipes from the engine sump to the oil collecting tank are to be submerged at their outlet ends.
</t>
  </si>
  <si>
    <t xml:space="preserve">C-1-10-12.4.1  Main engines are to be provided with at least two power lubricating pumps, of such a capacity as to maintain normal lubrication with any one pump out of action.
In the case of propulsion plants comprising:
more than one engine, each with its own lubricating pump, or
one engine with an output not exceeding 375 kW,
one of the pumps mentioned in a) may be a spare pump ready to be connected to the lubricating oil system, provided disassembling and reassembling operations can be carried out on board in a short time.
</t>
  </si>
  <si>
    <t>N</t>
  </si>
  <si>
    <t xml:space="preserve">C-1-10-12.3.3  Where lubricating oil needs to be purified, the arrangement of the purifiers are to comply with [11.8.3].
</t>
  </si>
  <si>
    <t xml:space="preserve">C-1-10-12.3.4  Heat transfer
Lubricating oil heaters are to comply with [11.7.3].
</t>
  </si>
  <si>
    <t xml:space="preserve">C-1-10-12.9.1  The materials used in the storage and distribution of lubricating oil are to be selected such that they do not introduce contaminants or modify the properties of the oil. In addition to the criterion given in  Tab 5, the use of cadmium or zinc in lubricating oil systems, where they may normally come into contact with the oil, is not permitted.
</t>
  </si>
  <si>
    <t xml:space="preserve">C-1-10-12.9.2  Air and overflow pipes
Air and overflow pipes are to comply with [9.1] and [9.3], including [5.10], as applicable.
</t>
  </si>
  <si>
    <t xml:space="preserve">C-1-10-12.9.3  Sounding pipes and level gauges
a.  Safe and efficient means of ascertaining the amount of oil contained in any lubricating oil tank are to be provided.
b.  Sounding pipes of lubricating oil tanks are to comply with the provisions of [9.2].
c.  Oil-level gauges complying with [2.9.2] may be used in place of sounding pipes.
d.  Gauge cocks for ascertaining the level in the tanks are not to be used.
</t>
  </si>
  <si>
    <t>Diesel propulsion plants' - Cylinder liners</t>
  </si>
  <si>
    <t xml:space="preserve">Diesel propulsion plants' - </t>
  </si>
  <si>
    <t>Diesel propulsion plants' - Drainage of the under piston spaces</t>
  </si>
  <si>
    <t>Diesel propulsion plants' - Presence of water in the super-charging manifolds</t>
  </si>
  <si>
    <t>Diesel propulsion plants' - Heavy heated fuel oil</t>
  </si>
  <si>
    <t>Electric propulsion plant</t>
  </si>
  <si>
    <t>Temperature of shaft bearings</t>
  </si>
  <si>
    <t>Low pressure in air vessels</t>
  </si>
  <si>
    <t>Oil fired automated auxiliary boilers</t>
  </si>
  <si>
    <t>Package burner units</t>
  </si>
  <si>
    <t>Fuel pressure on burners</t>
  </si>
  <si>
    <t>Additional arrangements for auxiliary boilers</t>
  </si>
  <si>
    <t>333 380</t>
  </si>
  <si>
    <t>Fire in exhaust gas boiler</t>
  </si>
  <si>
    <t>361 362 363</t>
  </si>
  <si>
    <t>Heated product into a stopped oil circuit</t>
  </si>
  <si>
    <t>Risk of fire extension at boilers</t>
  </si>
  <si>
    <t>Heaters heated by main engine exhaust gas</t>
  </si>
  <si>
    <t>Incinerators for chemical products</t>
  </si>
  <si>
    <t>Fuel oil blending units</t>
  </si>
  <si>
    <t>Provisions for other evaporators</t>
  </si>
  <si>
    <t>Oil quantity in the crankcase</t>
  </si>
  <si>
    <t>Starting and connecting of supplementary generators</t>
  </si>
  <si>
    <t>Generator sets</t>
  </si>
  <si>
    <t>Shaft generators</t>
  </si>
  <si>
    <t>Electrical motors</t>
  </si>
  <si>
    <t>Frequency drives</t>
  </si>
  <si>
    <t>Starting of the standby generating set</t>
  </si>
  <si>
    <t>Indicators, alarm etc.</t>
  </si>
  <si>
    <t>Alarms</t>
  </si>
  <si>
    <t>Control</t>
  </si>
  <si>
    <t>211 212 213 361</t>
  </si>
  <si>
    <t>Lubricating oil failure propulsion equipment</t>
  </si>
  <si>
    <t>Pressurisation of the fire main</t>
  </si>
  <si>
    <t>Water influx calculation</t>
  </si>
  <si>
    <t>680</t>
  </si>
  <si>
    <t>System of protection against flooding</t>
  </si>
  <si>
    <t>Preventing overflow spillages</t>
  </si>
  <si>
    <t>Automatic control heated fuel oil</t>
  </si>
  <si>
    <t>Fire detection for boiler and propulsion machinery</t>
  </si>
  <si>
    <t>Location of fire detection for boiler</t>
  </si>
  <si>
    <t>USE FOR SELECTING ITEMS</t>
  </si>
  <si>
    <t>Publication</t>
  </si>
  <si>
    <t>NR467 Steelships - July 2018 edition (entry into force 1 July 2018)</t>
  </si>
  <si>
    <t>Publications</t>
  </si>
  <si>
    <t>NR216 Materials and welding - Januari</t>
  </si>
  <si>
    <t>Offshore units</t>
  </si>
  <si>
    <t>Yachts</t>
  </si>
  <si>
    <t>Inland</t>
  </si>
  <si>
    <t>Floating</t>
  </si>
  <si>
    <t>Naval</t>
  </si>
  <si>
    <t>NR600</t>
  </si>
  <si>
    <t>Ships less than 500 GT</t>
  </si>
  <si>
    <t>Hull in composite materials</t>
  </si>
  <si>
    <t>NR561 Hull in aluminium</t>
  </si>
  <si>
    <t>Notations</t>
  </si>
  <si>
    <t>STAR</t>
  </si>
  <si>
    <t>AVM</t>
  </si>
  <si>
    <t>AUT</t>
  </si>
  <si>
    <t>AUT-CCS</t>
  </si>
  <si>
    <t>AUT-PORT</t>
  </si>
  <si>
    <t>SYS</t>
  </si>
  <si>
    <t>MON</t>
  </si>
  <si>
    <t>COMF</t>
  </si>
  <si>
    <t>REF</t>
  </si>
  <si>
    <t>ICE</t>
  </si>
  <si>
    <t>CLEANSHIP</t>
  </si>
  <si>
    <t>STRENGTHBOTTOM</t>
  </si>
  <si>
    <t>GRABLOADING</t>
  </si>
  <si>
    <t>INWATERSURVEY</t>
  </si>
  <si>
    <t>SPM</t>
  </si>
  <si>
    <t>LASHING</t>
  </si>
  <si>
    <t>DYNAPOS</t>
  </si>
  <si>
    <t>VCS</t>
  </si>
  <si>
    <t>COVENT</t>
  </si>
  <si>
    <t>CARGOCONTROL</t>
  </si>
  <si>
    <t>MANOVR</t>
  </si>
  <si>
    <t>EWCT</t>
  </si>
  <si>
    <t>PROTECTED FO TANKS</t>
  </si>
  <si>
    <t>IATP</t>
  </si>
  <si>
    <t>Automatic fire detection in machinery spaces</t>
  </si>
  <si>
    <t>Fire detection system with self-monitoring properties</t>
  </si>
  <si>
    <t>Fire detection indicating panel</t>
  </si>
  <si>
    <t>Fire detectors</t>
  </si>
  <si>
    <t>Fire detector zones</t>
  </si>
  <si>
    <t>Arrangements for the ready availability of water supply</t>
  </si>
  <si>
    <t>Fixed fire-extinguishing systems required for unattended spaces containing steam turbines</t>
  </si>
  <si>
    <t>Steam</t>
  </si>
  <si>
    <t>Yes/no</t>
  </si>
  <si>
    <t>No</t>
  </si>
  <si>
    <t>Yes</t>
  </si>
  <si>
    <t>X</t>
  </si>
  <si>
    <t>Gross tonnage</t>
  </si>
  <si>
    <t>Propulsion engine power</t>
  </si>
  <si>
    <t>Automatic release local application fire-extinguishing system</t>
  </si>
  <si>
    <t>Automatic standby auxiliaries for propulsion plants</t>
  </si>
  <si>
    <t>Starting air pressure</t>
  </si>
  <si>
    <t>Overflow spillages</t>
  </si>
  <si>
    <t>Heated fuel oil tanks</t>
  </si>
  <si>
    <t>high temperature alarm heated fuel tanks</t>
  </si>
  <si>
    <t xml:space="preserve">C-1-10-11.9.4.k  In multi-engine installations which are supplied from the same fuel source, means of isolating the fuel supply and spill piping to individual engines are to be provided. The means of isolation are not to affect the operation of the other engines and shall be operable from a position not rendered inaccessible by a fire on any of the engines.
</t>
  </si>
  <si>
    <t>Battery room</t>
  </si>
  <si>
    <t>Battery room - general</t>
  </si>
  <si>
    <t>Battery room - warning notice for closing device</t>
  </si>
  <si>
    <t>Battery room - free air flow</t>
  </si>
  <si>
    <t>Battery room - natural or mechanical</t>
  </si>
  <si>
    <t>Battery room - mechanical ventilation for charged batteries</t>
  </si>
  <si>
    <t>Battery room - separate vent</t>
  </si>
  <si>
    <t>Battery room - fan motor</t>
  </si>
  <si>
    <t>Battery room - fan material</t>
  </si>
  <si>
    <t>Battery room - vent openings</t>
  </si>
  <si>
    <t>Battery room - amount of air</t>
  </si>
  <si>
    <t>Battery room - ventilation rate</t>
  </si>
  <si>
    <t>Indicator</t>
  </si>
  <si>
    <t>Spring return</t>
  </si>
  <si>
    <t xml:space="preserve">541.4 - Fuel shall not be stored against the shell.
Spill containment shall be provided around fuel filters, fill, vent, and connections to fuel tanks to satisfy the latest applicable anti-pollution regulations. The spill containment shall be fitted with a suitable means of drainage.
A single filling connection shall be placed above the Main Deck. The filling connection shall terminate in gate valves with caps and retaining chains. A sampling connection shall be provided on the fuel drain lines for the service tanks, and at each shore connection with provisions for attaching a  pressure gauge downstream of the sampling connection at each filling connection. Each deck filling connection shall also be provided with an isolatable air blow down connection. All fuel oil tank cut off valves shall be gate valves. Suction tailpipes shall be fitted with bell-mouths.
The fuel tanks shall have tank sending units indicating fuel tank levels. Exposed tops of sending units and attached wiring shall be protected using built-up structure in way of the sensor.
The ship shall have no less than two main fuel storage tanks that contain sufficient fuel when filled to meet the endurance requirements described in Section 050.3, and shall in no case contain less than 35 cubic metres of fuel at 98% tank volume.
</t>
  </si>
  <si>
    <t>650</t>
  </si>
  <si>
    <t>External fire fighting system</t>
  </si>
  <si>
    <t xml:space="preserve">C-1-10-8.2.3  Sewage and grey water discharges
The requirements specified below are general and should apply to any vessel fitted with sewage and grey water piping systems.
a.  Except otherwise specified, the sewage (or black water) means:
 - drainage and other wastes from any form of toilets and urinals
 - drainage from medical premises (dispensary, sick bay, etc.) via wash basins, wash tubs and scuppers located in such premises
 - drainage from spaces containing living animals, or
 - other waste waters when mixed with the drainages defined above.
b.  Grey water means other sanitary discharges which are not sewage.
c.  In general, sewage systems should be of a design which will avoid the possible generation of toxic and flammable gases (such as hydrogen sulphide, methane, ammonia) during the sewage collection and treatment. Additional means of protection is to be suitable ventilation of the pipework and tanks.
d.  Drain lines from the hospital area should be, as far as practicable, separated from other discharges and fitted to the drain collector at the lowest level.
</t>
  </si>
  <si>
    <t xml:space="preserve">C-1-10-6.4.1  General
Cargo holds are to be fitted with bilge suctions connected to the bilge main.
Drainage arrangements for cargo holds likely to be used alternatively for ballast, fuel oil or liquid or dry cargoes are to comply with [7.1].
Drainage of enclosed cargo spaces situated on the freeboard deck of a cargo ship and on the bulkhead deck of a passenger ship shall comply with [8.5].
Drainage of enclosed cargo spaces intended to carry dangerous goods (see Ch 4, Sec 11) shall be provided in accordance with Ch 4, Sec 11, [2.6].
</t>
  </si>
  <si>
    <t xml:space="preserve">D-11-4-1.2.3  On a ship of 91,5 m in length and upwards or having a criterion numeral of 30 or more, as stated in Ch 11, Sec 3, [2.3.6], the arrangements shall be such that at least one power bilge pump will be available for use in all flooding conditions which the ship is required to withstand, as follows:
a.  one of the required bilge pumps shall be an emergency pump of a reliable submersible type having a source of power situated above the bulkhead deck, or
b.  the bilge pumps and their sources of power shall be so distributed throughout the length of the ship that at least one pump in an undamaged compartment will be available.
</t>
  </si>
  <si>
    <t xml:space="preserve">D-11-4-1.5.2  Distribution boxes, cocks and valves in connection with the bilge pumping system shall be so arranged that, in the event of flooding, one of the bilge pumps may be operative on any compartment; in addition, damage to a pump or its pipe connecting to the bilge main outboard of a line drawn at one fifth of the breadth of the ship shall not put the bilge system out of action.
If there is only one system of pipes common to all the pumps, the necessary valves for controlling the bilge suctions must be capable of being operated from above the bulkhead deck.
Where in addition to the main bilge pumping system an emergency bilge pumping system is provided, it shall be independent of the main system and so arranged that a pump is capable of operating on any compartment under flooding condition; in that case only the valves necessary for the operation of the emergency system need be capable of being operated from above the bulkhead deck.
</t>
  </si>
  <si>
    <t xml:space="preserve">Because the ER is AUT-IMS, class demand an extra LS to  iextreem ingress of seawater as per </t>
  </si>
  <si>
    <t>Cable trays and penetrations</t>
  </si>
  <si>
    <t>Penetrations of bulkheads and decks</t>
  </si>
  <si>
    <t>StDE</t>
  </si>
  <si>
    <t>Exhaust gas cleaning system</t>
  </si>
  <si>
    <t>311 312 32x 323 332 343 361</t>
  </si>
  <si>
    <t>Conditions of use of metallic materials in piping systems</t>
  </si>
  <si>
    <t xml:space="preserve">D-2-1-5.1.1 
The cooling water system is to be designed to ensure the supply of cooling water also when navigating in ice.
For this purpose, at least one sea water inlet chest is to be arranged and constructed as indicated hereafter:
the sea water inlet is to be situated near the centreline of the vessel and as aft as possible
the chest is to be sufficiently high to allow ice to accumulate above the inlet pipe
a pipe for discharging the cooling water, having the same diameter of the main overboard discharge line, is to be connected to the inlet chest
the area of the strum holes is to be not less than 4 times the inlet pipe sectional area.
Where there are difficulties in satisfying the requirements of b) 3) above, two smaller chests may be accepted, alternatively, provided that they are located and arranged as stated in the other provisions above.
Heating coils may be installed in the upper part of the chests.
Arrangements for using ballast water for cooling purposes may be accepted as a reserve in ballast conditions but are not acceptable as a substitute for the river inlet chests as described above.
</t>
  </si>
  <si>
    <t>Valve control emergency generator fuel tank</t>
  </si>
  <si>
    <t xml:space="preserve">F-11-11-2.2.2  
a.  Arrangements are to be made to avoid the build-up of ice inside air pipes (in particular those connected to sea chests, cooling water recirculation tanks and ballast tanks) and inside their automatic closing devices, where fitted.
b.  It also applies to:
 - sounding  pipes and overflow pipes serving cooling water recirculation tanks and water ballast tanks
 - piping systems located in exposed areas, including ro-ro spaces, such as compressed air lines, steam lines or steam drain lines when not in use
 - spray water lines
 - exposed deck scuppers, washing lines and discharge lines.
c.  The fire main is to be arranged so that exposed sections can be isolated and means of draining of exposed sections are to be provided. Fire hoses and nozzles need not be connected to the fire main at all times, and may be stored in protected locations near the hydrants.
</t>
  </si>
  <si>
    <t xml:space="preserve">C-1-10-9.2.4  Special arrangements for sounding  pipes of flammable oil tanks
a.  Where sounding  pipes are used in flammable (except lubricating) oil systems, they are to terminate in the open air, where no risk of ignition of spillage from the sounding  pipe might arise. In particular, they are not to terminate in passenger or crew spaces. As a general rule, they are not to terminate in machinery spaces. However, where the Society considers that this requirement is impracticable, it may permit termination in machinery spaces on condition that the following provisions are satisfied:
 1. in addition, an oil-level gauge is provided meeting the provisions of [2.9.2]
 2. the sounding  pipes terminate in locations remote from ignition hazards unless precautions are taken, such as the fitting of effective screens, to prevent the fuel oil in the case of spillage through the terminations of the sounding  pipes from coming into contact with a source of ignition
 3. the terminations of sounding  pipes are fitted with self-closing blanking devices and with a small diameter self-closing control cock located below the blanking device for the purpose of ascertaining before the blanking device is opened that fuel oil is not present. Provision is to be made so as to ensure that any spillage of fuel oil through the control cock involves no ignition hazard.
b.  For lubricating oil and fuel oil leakage tanks less than 2 m3, the oil-level gauge mentioned in a) 1) and the control cock mentioned in a) 3) need not be provided on condition that the sounding  pipes are fitted with appropriate means of closure.
c.  Short sounding  pipes may be used for tanks other than double bottom tanks without the additional closed level gauge provided an overflow system is fitted.
</t>
  </si>
  <si>
    <t>Construction of air pipes</t>
  </si>
  <si>
    <t>Meaning of Grey water</t>
  </si>
  <si>
    <t>Meaning of Sewage</t>
  </si>
  <si>
    <t>Generation of toxic and flammable gases</t>
  </si>
  <si>
    <t>Drain lines from the hospital area</t>
  </si>
  <si>
    <t>Battery room - ventilation duct material</t>
  </si>
  <si>
    <t xml:space="preserve">Fuel oil isolation valves for multi-engines </t>
  </si>
  <si>
    <t>SOLAS</t>
  </si>
  <si>
    <t xml:space="preserve">II-2-6-21.4  When fire damage does not exceed the casualty threshold indicated in paragraph 3, the ship shall be capable of returning to port while providing a safe area as defined in regulation 3. To be deemed capable of returning to port, the following systems shall remain operational in the remaining part of the ship not affected by fire: 
.1 propulsion; 
.2 steering systems and steering-control systems; 
.3 navigational systems; 
.4 systems for fill, transfer and service of fuel oil; 
.5 internal communication between the bridge, engineering spaces, safety centre, fire-fighting and damage control teams, and as required for passenger and crew notification and mustering; 
.6 external communication; 
.7 fire main system; 
.8 fixed fire-extinguishing systems; 
.9 fire and smoke detection system; 
.10 bilge and ballast system; 
.11 power-operated watertight and semi-watertight doors; 
.12 systems intended to support "safe areas" as indicated in paragraph 5.1.2; 
.13 flooding detection systems; and 
.14 other systems determined by the Administration to be vital to damage control efforts.
</t>
  </si>
  <si>
    <t xml:space="preserve">II-1-B-1 Regulation 8-1  
1.  Passenger ships having length, as defined in regulation II-1/2.5, of 120 m or more or having three or more main vertical zones shall comply with the provisions of this regulation. 
2.  Availability of essential systems in case of flooding damage footnote 
A passenger ship constructed on or after 1 July 2010 shall be designed so that the systems specified in regulation II-2/21.4 remain operational when the ship is subject to flooding of any single watertight compartment. 
3.  Operational information after a flooding casualty 
 For the purpose of providing operational information to the Master for safe return to port after a flooding casualty, passenger ships constructed on or after 1 January 2014 shall have: 
.1  onboard stability computer; or 
.2  shore-based support, 
based on guidelines developed by the Organizationfootnote. 
</t>
  </si>
  <si>
    <t xml:space="preserve">II-2-G-22.3 Systems footnote 
  3.1 In case any one main vertical zone is unserviceable due to fire, the following systems shall be so arranged and segregated as to remain operational: 
.1 fire main; 
.2 internal communications (in support of fire-fighting as required for passenger and crew notification and evacuation); 
.3 means of external communications; 
.4 bilge systems for removal of fire-fighting water; 
.5 lighting along escape routes, at assembly stations and at embarkation stations of life-saving appliances; and 
.6 guidance systems for evacuation shall be available. 
  3.2 The above systems shall be capable of operation for at least 3 h based on the assumption of no damage outside the unserviceable main vertical zone. These systems are not required to remain operational within the unserviceable main vertical zones. 
  3.3 Cabling and piping within a trunk constructed to an "A-60" standard shall be deemed to remain intact and serviceable while passing through the unserviceable main vertical zone for the purposes of paragraph 3.1. An equivalent degree of protection for cabling and piping may be approved by the Administration.
</t>
  </si>
  <si>
    <t xml:space="preserve">C-1-10 Table 28 
Sea water pump pressure or flow
Fresh water pump pressure or flow
Low level alarm in cooling water expansion tank.
</t>
  </si>
  <si>
    <t xml:space="preserve">C-1-10 Table 5 Grey cast iron is not to be used for the following systems:
- boiler blow-down systems and other piping systems subject to shocks, high stresses and vibrations
- bilge lines in tanks
- parts of scuppers and sanitary discharge systems located next to the hull
below the freeboard deck or for passengers ships below the bulkhead deck
- ship side valves and fittings
- valves fitted on the collision bulkhead
- valves fitted to fuel oil and lubricating oil tanks under static pressure head
- class II fuel oil systems and thermal oil systems.
</t>
  </si>
  <si>
    <t>C-1-10-9.1.8.a Where air pipes to ballast and other tanks extend above the freeboard deck or superstructure deck, the exposed parts of the pipes are to be of substantial construction, with a minimum wall thickness of at least:
6,0 mm for pipes of 80 mm or smaller external diameter
8,5 mm for pipes of 165 mm or greater external diameter,
Intermediate minimum thicknesses may be determined by linear interpolation.</t>
  </si>
  <si>
    <t>C-1-10-9.1.8.b Air pipes with height exceeding 900 mm are to be additionally supported.</t>
  </si>
  <si>
    <t>C-1-10-9.1.8.c In each compartment likely to be pumped up, and where no overflow pipe is provided, the total cross-sectional area of air pipes is not to be less than 1,25 times the cross-sectional area of the corresponding filling pipes.</t>
  </si>
  <si>
    <t>C-1-10-9.1.8.d The internal diameter of air pipes is not to be less than 50 mm, except for tanks of less than 2 m3.</t>
  </si>
  <si>
    <t xml:space="preserve">C-1-10-9.1.8.e Air pipes from several tanks or spaces may be led into a common main line, provided that:
the tanks or spaces are not intended for liquids which are not compatible and that the arrangement could not effect unacceptable condition for the ship
the cross-sectional area of the air pipes main is generally not less than the aggregate cross-sectional area of the two largest pipes discharging into the main. However, a reduced value may be considered for acceptance in each particular case on the basis of back pressure calculation submitted for all normal working conditions
as far as practical, each separate air pipe is fitted to the common air pipe from the top side
where no overflow pipes are provided, the cross-sectional area of a common air pipe from several tanks is not less than 1,25 times the area of the common filling pipeline for these tanks
where the tanks or spaces are situated at the shell side, the connections to the air pipes main are to be above the freeboard deck. Where it is not practical, different position proposed as far as possible above the deepest load waterline may be considered for acceptance. For vessels subject to damage stability requirements these connections should be above final water line at any damaged condition assumed by the Damage stability examination as defined in Pt B, Ch 3, App 4, [3.5.2].
</t>
  </si>
  <si>
    <t>C-1-10-9.1.8.f Vents acting also as overflows may be accepted provided all the requirements applicable to both vents and overflows are complied with.</t>
  </si>
  <si>
    <t>C-1-10-9.1.8.f Where tanks are fitted with cross flooding connections, the air pipes are to be of adequate area for these connections.</t>
  </si>
  <si>
    <t>C-2-11-6.1.3 Starter batteries are to be located as close as practicable to the engine or engines served.</t>
  </si>
  <si>
    <t xml:space="preserve">MSC.1/Circular.1321, Annex, Part 2, Chapter 2 - 7.1.6 Valves fitted to oil fuel tanks under static pressure should be of steel or spheroidal-graphite cast iron with an elongation of 12% or above.
</t>
  </si>
  <si>
    <t>MSC.1/Circular.1321</t>
  </si>
  <si>
    <t>C-1-10-8.11.10.b Grey water means other sanitary discharges which are not sewage.</t>
  </si>
  <si>
    <t>C-1-10-8.11.10.c In general, sewage systems should be of a design which will avoid the possible generation of toxic and flammable gases (such as hydrogen sulphide, methane, ammonia) during the sewage collection and treatment. Additional means of protection is to be suitable ventilation of the pipework and tanks.</t>
  </si>
  <si>
    <t xml:space="preserve">C-1-10-8.11.10.a Except otherwise specified, the sewage (or black water) means:
- drainage and other wastes from any form of toilets and urinals
- drainage from medical premises (dispensary, sick bay, etc.) via wash basins, wash tubs and scuppers located in such premises
- drainage from spaces containing living animals; or
- other waste waters when mixed with the drainages defined above.
</t>
  </si>
  <si>
    <t>C-1-10-8.11.10.d Drain lines from the hospital area should be, as far as practicable, separated from other discharges and fitted to the drain collector at the lowest level.</t>
  </si>
  <si>
    <t xml:space="preserve">C-1-10-8.11.10.f Air pipes from the sewage and grey water systems are to be independent of all other air pipes and to be led to the outside of the ship, away from any air intake. Such pipes should not terminate in areas to which personnel have frequent access and should be clear of any sources of ignition.
</t>
  </si>
  <si>
    <t>C-1-10-8.11.10.g The overboard discharges shall be located as far from seawater inlets as possible, seen in the direction of travel. In general, the sewage outlets should be located below the summer loadline.</t>
  </si>
  <si>
    <t>C-1-10-8.11.10.h The sewage and grey water discharge lines are to be fitted at the ships" side with screw-down valve and non-return valve. Possible characteristically arrangement is shown on Fig 4.</t>
  </si>
  <si>
    <t xml:space="preserve">C-2-11-6.5.2 The quantity of air expelled (by natural or forced ventilation) for compartments containing vented type batteries is to be at least equal to:
Q = 110 I n
where:
Q : Quantity of air expelled, in litres per hour
I : Maximum current delivered by the charging equipment during gas formation, but not less than one quarter of the maximum obtainable charging current in amperes
n : Number of cells in series.
For natural ventilation, the available inlet and outlet duct free cross-sectional area S, in mm is deemed sufficient provided it complies with following criteria:
S ≥ 2,8 Q
Otherwise, the dimensioning of the natural ventilation is to be considered on a case-by-case basis depending on the actual ducting arrangement. Detailed calculations may be required for this purpose.
</t>
  </si>
  <si>
    <t xml:space="preserve">C-2-11-6.5.4 Ducts are to be made of a corrosion-resisting material or their interior surfaces are to be painted with corrosion-resistant paint.
</t>
  </si>
  <si>
    <t xml:space="preserve">C-2-11-6.5.6 Exhaust ducts of natural ventilation systems:
a. are to be run directly from the top of the compartment to the open air above (they may terminate in the open or in well-ventilated spaces)
b. are to terminate not less than 90 cm above the top of the battery compartment
c. are to have no part more than 45° from the vertical
d. are not to contain appliances (for example for barring flames) which may impede the free passage of air or gas mixtures.
Where natural ventilation is impracticable or insufficient, mechanical exhaust ventilation is to be provided.
</t>
  </si>
  <si>
    <t xml:space="preserve">C-2-11-6.5.7 In mechanical exhaust ventilation systems:
a. electric motors are to be outside the exhaust ducts and battery  compartment and are to be of safe type if installed within 3 m from the exhaust of the ventilation duct
b. fans are to be so constructed and of a material such as to render sparking impossible in the event of the impeller touching the fan casing
c. steel or aluminium impellers are not to be used
d. the system is to be interlocked with the charging device so that the battery  cannot be charged without ventilation  (trickle charge may be maintained)
e. a temperature sensor is to be located in the battery compartment to monitor the correct behaviour of the battery in cases where the battery element is sensitive to temperature.
</t>
  </si>
  <si>
    <t xml:space="preserve">C-1-10-11.1.2
 - for fuel oil supply equipment forming part of engines, gas turbines, boilers, thermal heaters and incinerators, in the corresponding sections
 - for the installation of purifiers, in Part C, Chapter 4,
 - for the location and scantling of tanks forming part of the ship's structure, in Part B, Chapter 2 and Part B, Chapter 7
 - for helicopter refuelling facilities, in Ch 4, Sec 10, [4].
</t>
  </si>
  <si>
    <t>C-1-10-11.10.3.a  The remote control arrangement of valves fitted on fuel oil tanks is to comply with [11.6.4].</t>
  </si>
  <si>
    <t>C-1-10-11.10.3.c  Remote control of the valve fitted to the emergency generator fuel tank is to be in a separate location from that of other valves fitted to tanks in the engine room.
"Separate location" does not mean separate spaces.</t>
  </si>
  <si>
    <t>C-1-10-11.10.3.d  The positions of the remote controls are also to comply with Part C, Chapter 3.</t>
  </si>
  <si>
    <t xml:space="preserve">C-1-10-11.11.1
a.  Fuel oil pipes and their valves are to be of steel or other approved material, except that the use of flexible pipes may be accepted provided they comply with [2.6.3].
b.  The materials and/or their surface treatment used for the storage and distribution of oil fuel are to be selected such that they do not introduce contamination or modify the properties of the fuel. In addition to the criterion given in  Tab 5, the use of copper or zinc compounds in oil fuel distribution and utilisation piping is not permitted except for small diameter pipes in low pressure systems.
</t>
  </si>
  <si>
    <t>C-1-10-11.11.2  The thickness of pipes conveying heated fuel oil, as well as their flanges, is to be calculated for a design pressure determined in accordance with  Tab 4.</t>
  </si>
  <si>
    <t xml:space="preserve">C-1-10-11.11.3
 - Connections and fittings of pipes containing fuel oil are to be suitable for a design pressure according to  Tab 3 and  Tab 4.
 - Connections of pipes conveying heated fuel oil are to be made by means of close-fitting flanges, with joints made of a material impervious to oil heated to 160°C and as thin as possible.
</t>
  </si>
  <si>
    <t xml:space="preserve">C-1-10-11.12.1
a.  Fuel pipes are not to pass through tanks containing boiler feed water, fresh water, other flammable oil or liquid cargo, unless they are contained within tunnels.
b.  Transfer pipes passing through ballast tanks are to have a reinforced thickness complying with  Tab 6.
</t>
  </si>
  <si>
    <t>C-1-10-11.12.2  Boiler feed water, fresh water or liquid cargo pipes are not to pass through fuel oil tanks, unless such pipes are contained within tunnels.</t>
  </si>
  <si>
    <t xml:space="preserve">C-1-10-11.2.1
a.  Fuel oil systems are to be so designed as to ensure the proper characteristics (purity, viscosity, pressure) of the fuel oil supply to engines and boilers.
b.  Fuel oil systems are to be so designed as to prevent:
 - overflow or spillage of fuel oil from tanks, pipes, fittings, etc.
 - fuel oil from coming into contact with sources of ignition
 - overheating and seizure of fuel oil.
c.  Fuel oils used for engines and boilers are to have a flashpoint complying with the provisions of Ch 1, Sec 1, [2.9].
</t>
  </si>
  <si>
    <t xml:space="preserve">C-1-10-11.2.2
a.  Fuel oil systems are to be so designed that, in the event that any one essential auxiliary of such systems becomes inoperative, the fuel oil supply to boilers and engines can be maintained. Partial reduction of the propulsion capability may be accepted, however, when it is demonstrated that the safe operation of the ship is not impaired.
b.  Fuel oil tanks are to be so arranged that, in the event of damage to any one tank, complete loss of the fuel supply to essential services does not occur.
c.  Where engines and boilers are operated with heavy fuel oils, provisions are to be made to supply them with fuel oils which do not need to be heated.
</t>
  </si>
  <si>
    <t xml:space="preserve">C-1-10-11.3.1
a.  In a ship in which fuel oil is used, the arrangements for the storage, distribution and utilisation of the fuel oil are to be such as to ensure the safety of the ship and persons on board.
b.  The provisions of [5.10] are to be complied with.
</t>
  </si>
  <si>
    <t xml:space="preserve">C-1-10-11.3.2  Provisions are to be made to prevent overpressure in any oil tank or in any part of the fuel oil system. Any relief valve is to discharge to a safe position.
</t>
  </si>
  <si>
    <t xml:space="preserve">C-1-10-11.4.1
a.  A system of pumps and piping for filling and transferring fuel oil is to be provided.
b.  Provisions are to be made to allow the transfer of fuel oil from any storage, settling or service tank to another tank.
</t>
  </si>
  <si>
    <t xml:space="preserve">C-1-10-11.4.2
a.  Filling pipes of fuel oil tanks are to terminate on open deck or in filling stations isolated from other spaces and efficiently ventilated. Suitable coamings and drains are to be provided to collect any leakage resulting from filling operations.
The means shall be provided for the filling lines to prevent of possible overpressure during the bunkering operation, which could be caused by pumps from outboard filling station. For that purpose a warning label may be accepted with clearly declared design pressure of the filling lines and the local pressure gauge fitted in vicinity of the filling connection.
b.  Arrangements are to be made to avoid overpressure in the filling lines which are served by pumps on board. Where safety valves are provided for this purpose, they are to discharge to the overflow tank referred to in  [9.3.3] or to other safe positions deemed satisfactory.
</t>
  </si>
  <si>
    <t xml:space="preserve">C-1-10-11.4.3  Except where permitted in [11.4.4], the fuel oil transfer piping system is to be completely separate from the other piping systems of the ship.
</t>
  </si>
  <si>
    <t xml:space="preserve">C-2-11-6.5.1 The ventilation  of battery  compartments is to be independent of ventilation  systems for other spaces.
</t>
  </si>
  <si>
    <t xml:space="preserve">C-2-11-6.5.3 The quantity of air expelled (by natural or forced ventilation) for compartments containing valve-regulated sealed batteries is to be at least 25% of that given in [6.5.2].
</t>
  </si>
  <si>
    <t xml:space="preserve">C-1-10-11.4.4
Where certain compartments are likely to contain alternatively fuel oil, ballast water and other liquid or dry cargo, the transfer pipes supplying these compartments are to be fitted with blind flanges or other appropriate change-over devices.
</t>
  </si>
  <si>
    <t xml:space="preserve">C-1-10-11.4.5
a.  At least two means of transfer are to be provided. One of these means is to be a power pump. The other may consist of:
a standby pump, or, alternatively,
an emergency connection to another suitable power pump.
Note 1 :   Where provided, purifiers may be accepted as means of transfer.
b.  Where necessary, transfer pumps are to be fitted on their discharge side with a relief valve leading back to the suction of the pump or to any other place deemed satisfactory.
</t>
  </si>
  <si>
    <t xml:space="preserve">C-1-10-11.5.1
a.  No fuel oil tank is to be situated where spillage or leakage therefrom can constitute a hazard by falling on heated surfaces.
b.  Fuel oil tanks and bunkers are not to be situated immediately above boilers or in locations where they could be subjected to high temperatures, unless specially agreed by the Society. In general, the distance between fuel oil tanks and boilers is not to be less than 450 mm. Where boilers are situated above double bottom fuel oil tanks, the distance between the double bottom tank top and the lower metallic part of the boilers is not to be less than:
750 mm for water tube boilers
600 mm for cylindrical boilers.
c.  As far as practicable, fuel oil tanks are to be part of the ship's structure and are to be located outside machinery spaces of category A. Where fuel oil tanks, other than double bottom tanks, are necessarily located adjacent to or within machinery spaces of category A, at least one of their vertical sides is to be contiguous to the machinery space boundaries, and is preferably to have a common boundary with the double bottom tanks, and the area of the tank boundary common with the machinery spaces is to be kept to a minimum. Where such tanks are situated within the boundaries of machinery spaces of category A, they are not to contain fuel oil having a flashpoint of less than 60°C.
Note 1 :   Machinery spaces of category A are defined in Ch 4, Sec 1.
d.  The location of fuel oil tanks is to be in compliance with the requirements of Part B, Chapter 2, particularly as regards the installation of cofferdams, the separation between fuel oil tanks or bunkers and the other spaces of the ship, and the protection of these tanks and bunkers against any abnormal rise in temperature.
e.  Attention is drawn to the requirements of Pt D, Ch 7, Sec 4 regarding the segregation of fuel bunkers from the cargo area.
</t>
  </si>
  <si>
    <t xml:space="preserve">C-1-10-11.5.2
a.  In general the use of free-standing fuel oil tanks is to be avoided except on cargo ships, where their use is permitted in category A spaces.
b.  For the design and the installation of independent tanks, refer to Pt B, Ch 5, Sec 6 and Part B, Chapter 7.
</t>
  </si>
  <si>
    <t xml:space="preserve">C-1-10-11.5.3.a  Application:
a.  The provisions of [11.5.3] apply to all ships with an aggregate oil fuel capacity of 600 m3 and above.
They apply to all oil fuel tanks except small oil fuel tanks with a maximum individual capacity not exceeding 30 m3, provided that the aggregate capacity of such excluded tanks is not greater than 600 m3.
Note 1 :   For the purpose of application of this requirement, oil fuel means any oil used as fuel oil in connection with the propulsion and auxiliary machinery of the ship in which such oil is carried.
Note 2 :   The provisions of this requirement apply to oil fuel overflow tanks except if they are provided with an alarm for detection of oil and kept empty according to the operational procedures.
</t>
  </si>
  <si>
    <t xml:space="preserve">C-1-10-11.5.3.b  Individual oil fuel tanks are not to have a capacity of over 2500 m3.
</t>
  </si>
  <si>
    <t xml:space="preserve">C-1-10-11.5.3.c  For ships having an aggregate oil fuel capacity of 600 m3 and above, oil fuel tanks are to be located at a sufficient distance from the bottom shell plating and from the side shell plating in accordance with the relevant provisions of MARPOL 73/78, Annex I, Regulation 12A.
</t>
  </si>
  <si>
    <t xml:space="preserve">C-1-10-11.5.3.d  Suction wells in oil fuel tanks may protube in the double bottom provided that the conditions stated in MARPOL 73/78, Annex I, Regulation 12A.10 are satisfied.
</t>
  </si>
  <si>
    <t xml:space="preserve">C-1-10-11.5.3.e  Lines of fuel oil piping located at a distance from the ship's bottom or from the ship's side less than those referred to in item c) are to be fitted with valves or similar closing devices within, or immediately adjacent to, the oil fuel tank. These valves are to be capable of being brought into operation from a readily accessible enclosed space the location of which is accessible from the navigation bridge or propulsion machinery control position without traversing exposed freeboard or superstructure decks. The valves are to close in case of remote control system failure and are to be kept closed at sea at any time when the tank contains oil fuel except that they may be opened during oil fuel transfer operations.
</t>
  </si>
  <si>
    <t xml:space="preserve">C-1-10-11.6.1  Tanks such as collector tanks, de-aerator tanks etc. are to be considered as fuel oil tanks for the purpose of application of this sub-article, and in particular regarding the valve requirements.
Tanks with a volume lower than 500 l will be given special consideration by the Society.
</t>
  </si>
  <si>
    <t xml:space="preserve">C-1-10-11.6.2
a.  All suction pipes from fuel oil tanks and bunkers, including those in the double bottom, are to be provided with valves.
b.  For storage tanks, filling pipes may also be used for suction purposes.
c.  For fuel oil tanks which are situated higher than the double bottom tanks, the filling pipes which are connected to the tank at a point lower than the outlet of the overflow pipe, or below the top of tanks without an overflow pipe, are to be fitted with shut-off non-return valves, unless they are fitted with valves arranged in accordance with the requirements stated in [11.6.4]. For filling lines entering at the top of a tank and with inside extension towards the bottom, airholes shall be drilled in the pipe near the penetration in order to avoid the siphoning effect.
d.  For oil piping which is led through engine room bulkheads, shut-off valves are to be fitted in the engine room on the bulkhead, or close to, except where it is demonstrated that possible failure of the piping would not affect the availability of the fuel oil system or the safety of engine room, in general.
e.  The valves requested in items a), c) and d) shall be located on the tank or bulkhead itself. However, short distance pieces of rigid construction may be accepted, the length of which is not to exceed about 1,5 D of the pipe.
</t>
  </si>
  <si>
    <t xml:space="preserve">C-1-10-11.6.4
a.  Every fuel oil pipe which, if damaged, would allow oil to escape from a storage, settling or daily service tank having a capacity of 500 l and above situated above the double bottom, is to be fitted with a cock or valve directly on the tank capable of being closed from a safe position outside the space in which such tanks are situated in the event of a fire occurring in such space.
Note 1 :   For the location of the remote controls, refer to [11.10.3], item c).
b.  Such valves and cocks are also to include local control. Indicators are to be provided on the remote and local controls to show whether they are open or shut (see [2.7.3]). Where quick-closing valves are used, the indicators for remote controls may be omitted.
c.  Where fuel oil tanks are situated outside boiler and machinery spaces, the remote control required in item a) may be transferred to a valve located inside the boiler or machinery spaces on the suction pipes from these tanks.
d.  In the special case of deep tanks situated in any shaft or pipe tunnel or similar space, valves are to be fitted on the tank but control in the event of fire may be effected by means of an additional valve on the pipe or pipes outside the tunnel or similar space. If such additional valve is fitted in the machinery space it is to be operated from a position outside this space.
</t>
  </si>
  <si>
    <t>C-1-10-11.6.5  Where fitted, drain pipes are to be provided with self-closing valves or cocks.</t>
  </si>
  <si>
    <t xml:space="preserve">C-1-10-11.6.7  
a.  Safe and efficient means of ascertaining the amount of fuel oil contained in any fuel oil tank are to be provided.
b.  Sounding pipes of fuel oil tanks are to comply with the provisions of [9.2].
c.  Oil-level gauges complying with [2.9.2] may be used in place of sounding pipes.
d.  Gauge cocks for ascertaining the level in the tanks are not to be used.
</t>
  </si>
  <si>
    <t xml:space="preserve">C-1-10-11.7.1
a.  Where heavy fuel oil is used, a suitable heating system is to be provided for storage tanks, settling tanks and service tanks in order to ensure that the fuel oil has the correct fluidity and the fuel pumps operate efficiently.
b.  Where necessary for pumping purposes, storage tanks containing heavy fuel oil are to be provided with heating systems.
c.  Where necessary, pumps, filters, pipes and fittings are to be provided with heat tracing systems.
d.  Where main or auxiliary engines are supplied with fuel oil which needs to be heated, arrangements are to be made so that the engines can still operate if one oil heating system or the heating power source is out of action. Such arrangements may consist of an alternative supply of the engines in accordance with [11.9.2].
</t>
  </si>
  <si>
    <t xml:space="preserve">C-1-10-11.7.2
a.  Oil fuel in storage tanks are not to be heated to temperatures within 10°C below the flashpoint of the fuel oil, except that, where oil fuel in service tanks, settling tanks and any other tanks in supply system is heated, the following arrangements are to be provided:
 - the length of the vent pipes from such tanks and/or a cooling device is sufficient for cooling the vapours to below 60°C, or the outlet of the vent pipes is located 3 m away from a source of ignition
 - the vent pipes are fitted with flame screens
 - there are no openings from the vapour space of the fuel tanks into machinery spaces (bolted manholes are acceptable)
 - enclosed spaces are not to be located directly over such fuel tanks, except for vented cofferdams
 - electrical equipment is not to be fitted in the vapour space of the tanks, unless it is certified to be intrinsically safe.
b.  The temperature of the heating medium is not to exceed 220°C.
c.  Automatic control sensors are to be provided for each heated tank to maintain the temperature of the fuel oil below the limits prescribed in item a).
For storage tanks, the manual control may be accepted subject to special consideration by the Society in each case.
d.  Heated tanks are to be provided with temperature measuring systems.
The heating coils inlet and outlet connections at the tank are to be fitted with suitable means for closing. For steam heating coils, additional means are to be provided between tank outlet and closing device to enable testing the condensate for presence of oil.
e.  Heating pipes and coils inside the tanks are to be of material suitable for the heated fluid.
For steel pipes, the thickness is not to be less than the values given in column 4, with Note (4), of  Tab 6. The heating coils within the tanks are to have welded connections and are to be supported in such a way that they are not subject to non permissible stress due to vibration or thermal extension.
</t>
  </si>
  <si>
    <t xml:space="preserve">C-1-10-11.7.3
a.  Where steam heaters or heaters using other heating media are provided in fuel oil systems, they are to be fitted with at least a high temperature alarm or a low flow alarm in addition to a temperature control, except where temperatures dangerous for the ignition of the fuel oil cannot be reached.
b.  Electric heating of fuel oil is to be avoided as far as practicable.
c.  However, when electric heaters are fitted, means are to be provided to ensure that heating elements are permanently submerged during operation. In all cases a safety temperature switch is to be fitted in order to avoid a surface temperature of 220°C and above. It is to be:
independent from the automatic control sensor
designed to cut off the electrical power supply in the event of excessive temperature
provided with manual reset.
d.  Fuel oil heaters are to be fitted with relief valves leading back to the pump suction concerned or to any other place deemed satisfactory.
</t>
  </si>
  <si>
    <t xml:space="preserve">C-1-10-11.8.2
a.  Settling tanks or, where settling tanks are not provided, daily service tanks, are to be provided with drains permitting the evacuation of water and impurities likely to accumulate in the lower part of such tanks.
b.  Efficient means are to be provided for draining oily water escaping from the drains.
</t>
  </si>
  <si>
    <t xml:space="preserve">C-1-10-11.9.1.a  Except otherwise specified, the propulsion machinery and auxiliary engines which are able to use the same type of fuel may be supplied from the same fuel source, provided that the following is satisfied:
 - the viscosity, inlet pressure and outlet pressure required by the engine's manufacturer are to be identical
 - the fuel oil preparation unit is to comply with the provisions of [11.9.4]
 - the capacity of fuel oil preparation unit is to be sufficient for maximum continuous rating of all supplied engines in normal working conditions
 - the fuel oil lines supplying propulsion machinery and those supplying auxiliary engines are to be so arranged that a failure within one of those lines is not to render the other lines inoperable
 - the arrangement to stop propulsion from outside the machinery spaces is not to affect the main electrical power supply.
See also Part E for any additional class notation.
</t>
  </si>
  <si>
    <t xml:space="preserve">C-1-10-2.5.2   
Provisions shall be made to prevent overpressure in any flammable oil tank or in any part of the flammable oil systems, including the filling lines served by pumps on board.
</t>
  </si>
  <si>
    <t xml:space="preserve">C-1-10-2.5.3  
a.  Provisions are to be made so that the discharge pressure of pumps and compressors cannot exceed the pressure for which the pipes located on the discharge of these pumps and compressors are designed.
b.  When provided on the pump discharge for this purpose, safety  valves are to lead back to the pump suction or to any other suitable place.
c.  The discharge capacity of the safety  valves installed on pumps and compressors is to be such that the pressure at the discharge side cannot exceed by more than 10% the design pressure of the discharge pipe in the event of operation with closed discharge.
</t>
  </si>
  <si>
    <t xml:space="preserve">C-1-10-2.5.4  
a.  Pipes likely to be subjected to a pressure exceeding their normal working pressure are to be provided with safety  valves or equivalent overpressure protecting devices.
b.  In particular, pipes located on the low pressure side of pressure reducing valves are to be provided with safety  valves unless they are designed for the maximum pressure on the high pressure side of the pressure reducing valve. See also [1.3.2] and [2.9.1].
c.  The discharge capacity of the devices fitted on pipes for preventing overpressure is to be such that the pressure in these pipes cannot exceed the design pressure by more than 10%.
</t>
  </si>
  <si>
    <t xml:space="preserve">C-1-10-5.5.3.c Valves required to be operable from above the bulkhead deck are to be fitted with an indicator to show whether the valve is open or shut.
</t>
  </si>
  <si>
    <t>C-1-10-5.5.3.c Where the valve is remote controlled by other than mechanical means, and where the remote control system is located, even partly, within the assumed extent of damage penetration, this system is to be such that the valve is automatically closed by loss of power.</t>
  </si>
  <si>
    <t xml:space="preserve">C-1-10-9.3.2  
a.  Overflow tanks are to have a capacity sufficient to receive the delivery of the pumps for at least 10 minutes.
b.  Overflow tanks are to be fitted with an air pipe complying with [9.1] which may serve as an overflow pipe for the same tank. When the vent pipe reaches a height exceeding the design head of the overflow tank, suitable means are to be provided to limit the actual hydrostatic head on the tank.
Such means are to discharge to a position which is safe in the opinion of the Society.
c.  An alarm device is to be provided to give warning when the oil reaches a predetermined level in the tank, or alternatively, a sight-flow glass is to be provided in the overflow pipe to indicate when any tank is overflowing. Such sight-flow glasses are only to be placed on vertical pipes and in readily visible positions.
</t>
  </si>
  <si>
    <t xml:space="preserve">C-1-10-9.3.4
a.  The internal diameter of overflow pipes is not to be less than 50 mm.
b.  In each compartment which can be pumped up, the total cross-sectional area of overflow pipes is not to be less than 1,25 times the cross-sectional area of the corresponding filling pipes.
c.  The cross-sectional area of the overflow main is not to be less than the aggregate cross-sectional area of the two largest pipes discharging into the main.
d.  Sight glasses may be accepted on overflow lines from fuel oil and lubricating oil systems, provided that:
 - they are located in a vertically dropping line on readily visible and well lit position
 - they are protected against mechanical damages
 - the glass is of heat resisting type.
</t>
  </si>
  <si>
    <t>C-2-12-7.5.3 Cables passing through decks and continuing vertically are to be protected against mechanical damage to a height of about 200 mm above the deck.</t>
  </si>
  <si>
    <t xml:space="preserve">C-4-12-4.1.1 
Notwithstanding the provisions of Ch 4, Sec 5, [1.3], in passenger ships carrying more than 36 passengers, the boundary bulkheads and decks of special category spaces and ro-ro spaces shall be insulated to A-60 class standard. However, where a category (5), (9) or (10) space, as defined in Ch 4, Sec 5, [1.3.3] is on one side of the division, the standard may be reduced to A-0. Where fuel oil tanks are below a special category space or a ro-ro space, the integrity of the deck between such spaces may be reduced to A-0 standard.
</t>
  </si>
  <si>
    <t>C-4-14-6.1.4   Fixed water-based fire-fighting systems for ro-ro spaces, vehicle spaces and special category spaces shall be approved by the Society based on guidelines developed by the Organization.</t>
  </si>
  <si>
    <t>C-4-6-1.2.3  The diameter of the fire main and water service pipes shall be sufficient for the effective distribution of the maximum required discharge from two fire pumps operating simultaneously, except that in the case of cargo ships other than those included in [6.3], the diameter need only be sufficient for the discharge of 140 m3/hour.</t>
  </si>
  <si>
    <t xml:space="preserve">C-4-6-1.2.6  
With the two pumps simultaneously delivering water through the nozzles specified in [1.2.3], with the quantity of water as specified in [1.4.3], through any adjacent hydrants, the following minimum pressures shall be maintained at all hydrants:
a.  for passenger ships:
 - 4000 gross tonnage and upwards ....... 0,40 N/mm2
 - less than 4000 gross tonnage ............. 0,30 N/mm2
b.  for cargo ships:
 - 6000 gross tonnage and upwards ...... 0,27 N/mm2
 - less than 6000 gross tonnage ............. 0,25 N/mm2
and
c.  the maximum pressure at any hydrant shall not exceed that at which the effective control of a fire hose can be demonstrated.
</t>
  </si>
  <si>
    <t xml:space="preserve">C-4-6-1.2.7  International shore connection
Ships of 500 gross tonnage and upwards shall be provided with at least one international shore connection complying with Ch 4, Sec 14. Facilities shall be available enabling such a connection to be used on either side of the ship.
</t>
  </si>
  <si>
    <t>C-1-10-11.10.2  Automatic temperature control is to be provided for:
 - steam heaters or heaters using other media
 - electric heaters.</t>
  </si>
  <si>
    <t xml:space="preserve">C-1-10-11.10.3.b  The power supply to:
 - fuel oil burning pumps
 - transfer pumps and other pumps of the fuel oil system, and
 - fuel oil purifiers,
is to be capable of being stopped from a position within the space containing the pumps and from another position located outside such space and always accessible in the event of fire within the space.
</t>
  </si>
  <si>
    <t xml:space="preserve">C-1-10-11.10.3.c  Remote control of the valve fitted to the emergency generator fuel tank is to be in a separate location from that of other valves fitted to tanks in the engine room. "Separate location" does not mean separate spaces.
</t>
  </si>
  <si>
    <t>C-1-10-11.8.2
a.  Where fuel oil needs to be purified, at least two purifiers are to be installed on board, each capable of efficiently purifying the amount of fuel oil necessary for the normal operation of the engines.
Note 1 :   On ships with a restricted navigation notation where fuel oil needs to be purified, one purifier only may be accepted.
b.  Subject to special consideration by the Society, the capacity of the standby purifier may be less than that required in a), depending on the arrangements made for the fuel oil service tanks to satisfy the requirement in  [11.9.2]. 
c.  The standby purifier may also be used for other services.
Each purifier is to be provided with an alarm in case of failures likely to affect the quality of the purified fuel oil.
d.  Fuel oil purifiers are to be installed as required in Part C, Chapter 4.</t>
  </si>
  <si>
    <t xml:space="preserve">C-1-10-11.9.1.a  The oil fuel service tank is an oil fuel tank which contains only the required quality of fuel ready for immediate use.
</t>
  </si>
  <si>
    <t xml:space="preserve">C-1-10-11.9.1.b  In general, two fuel oil service tanks for each type of fuel used on board necessary for propulsion and vital systems, or equivalent arrangements, are to be provided. Each tank is to have a capacity of at least 8 h at maximum continuous rating of the propulsion plant and normal operating load at sea of the generator plant.
</t>
  </si>
  <si>
    <t xml:space="preserve">C-1-10-11.9.1.c  When necessary, arrangements are to be made for cooling the marine diesel oil from engine return lines.
</t>
  </si>
  <si>
    <t xml:space="preserve">C-1-10-11.9.2.e  The "equivalent arrangements" in items c) and d) apply, provided the propulsion and vital systems using two types of fuel support rapid fuel change over and are capable of operating in all normal operating conditions at sea with both types of fuel (MDO and HFO).
</t>
  </si>
  <si>
    <t>C-1-10-11.9.2.f  The arrangement of oil fuel service tanks is to be such that one tank can continue to supply oil fuel when the other is being cleaned or opened up for repair.</t>
  </si>
  <si>
    <t xml:space="preserve">C-1-10-11.9.2.g  The use of a setting tank with or without purifiers, or purifiers alone, and one service tank is not acceptable as an "equivalent arrangement" to two service tanks.
</t>
  </si>
  <si>
    <t>C-1-10-11.9.4.a  The suctions of engine fuel pumps are to be so arranged as to prevent the pumping of water and sludge likely to accumulate after decanting at the lower part of service tanks.</t>
  </si>
  <si>
    <t xml:space="preserve">C-1-10-11.9.4.b  Internal combustion engines intended for main propulsion are to be fitted with at least two filters, or similar devices, so arranged that one of the filters can be overhauled while the other is in use.
Note 1 :   Where the propulsion plant consists of:
 - two or more engines, each one with its own filter, or
 - one engine with an output not exceeding 375 kW,
the second filter may be replaced by a readily accessible and easily replaceable spare filter.
</t>
  </si>
  <si>
    <t xml:space="preserve">C-1-10-11.9.4.c  Oil filters fitted in parallel are to be so arranged as to minimise the possibility of a filter under pressure being opened by mistake.
Filter chambers are to be provided with suitable means for:
 - ventilating when put into operation
 - de-pressurising before being opened.
Valves or cocks used for this purpose are to be fitted with drain pipes led to a safe location.
</t>
  </si>
  <si>
    <t>C-1-10-11.9.4.d  Oil filters are to be so located that in the event of a leakage the fuel oil cannot be pulverised onto the exhaust manifold.</t>
  </si>
  <si>
    <t xml:space="preserve">C-1-10-11.9.4.e  When an fuel oil booster pump is fitted which is essential to the operation of the main engine, a standby pump, connected ready for immediate use, is to be provided.
The standby pump may be replaced by a complete spare pump of appropriate capacity ready to be connected, in the following cases:
 - where two or more main engines are fitted, each with its own booster pump
 - in ships having main engines each with an output not exceeding 375 kW.
</t>
  </si>
  <si>
    <t>C-1-10-11.9.4.g  Excess fuel oil from pumps or injectors is to be led back to the service or settling tanks, or to other tanks intended for this purpose.</t>
  </si>
  <si>
    <t xml:space="preserve">C-1-10-11.9.4.h  De-aeration tanks fitted in pressurised fuel oil return lines are to be equipped with at least:
 - an automatic venting valve or equivalent device discharging to the daily service tank or to other safe place deemed satisfactorily having a device for flow detection.
 - a non-return valve in the return line from the engines.
</t>
  </si>
  <si>
    <t>C-1-10-11.9.4.j  Connections within the fuel supply and spill lines are to be constructed having regard to their ability to prevent pressurised fuel oil leaks while in service and after maintenance.</t>
  </si>
  <si>
    <t xml:space="preserve">C-1-2-2.5.1 Flexible hoses in the fuel and lubricating oil system are to be limited to the minimum and are to be type approved.
</t>
  </si>
  <si>
    <t xml:space="preserve">C-1-2-2.5.1 Unless otherwise stated in Ch 1, Sec 10, propulsion engines are to be equipped with external connections for standby pumps for: fuel oil supply
</t>
  </si>
  <si>
    <t xml:space="preserve">C-1-2-2.5.2  Relief valves discharging back to the suction of the pumps or other equivalent means are to be fitted on the delivery side of the pumps.
In fuel oil systems for propulsion machinery, filters are to be fitted and arranged so that an uninterrupted supply of filtered fuel oil is ensured during cleaning operations of the filter equipment, except when otherwise stated in Ch 1, Sec 10.
All external high pressure fuel delivery lines between the high pressure fuel pumps and fuel injectors are to be protected with a shielded piping system capable of containing fuel from a high pressure line failure.
A shielded pipe incorporates an outer pipe into which the high pressure fuel pipe is placed forming a permanent assembly.
The shielded piping system is to include a means for collection of leakages and arrangements are to be provided for an alarm to be given in the event of a fuel line failure.
If flexible hoses are used for shielding purposes, these are to be approved by the Society.
When in fuel oil return piping the pulsation of pressure with peak to peak values exceeds 20 bar, shielding of this piping is also required as above
For vessels classed for restricted navigation, the requirements under a) may be relaxed at the Society's discretion.
</t>
  </si>
  <si>
    <t xml:space="preserve">B-2-1-2.1.4 Where a corner to corner situation occurs, tanks are not be considered to be adjacent.
Adjacent tanks not separated by cofferdams are to have adequate dimensions to ensure easy inspection.
</t>
  </si>
  <si>
    <t xml:space="preserve">B-2-2-2.1.1 Cofferdams are to be provided between:
 - fuel oil tanks and lubricating oil tanks
 - compartments intended for liquid hydrocarbons (fuel oil, lubricating oil) and compartments intended for fresh water (drinking water, water for propelling machinery and boilers)
 - compartments intended for liquid hydrocarbons (fuel oil, lubricating oil) and tanks intended for the carriage of liquid foam for fire extinguishing.
</t>
  </si>
  <si>
    <t xml:space="preserve">B-2-2-2.1.2 Cofferdams separating:
 - fuel oil tanks from lubricating oil tanks
 - lubricating oil tanks from compartments intended for fresh water or boiler feed water
 - lubricating oil tanks from those intended for the carriage of liquid foam for fire extinguishing 
may not be required when deemed impracticable or unreasonable by the Society in relation to the characteristics and dimensions of the spaces containing such tanks, provided that:
 - the thickness of common boundary plates of adjacent tanks is increased, with respect to the thickness obtained according to Ch 7, Sec 1, by 2 mm in the case of tanks carrying fresh water or boiler feed water, and by 1 mm in all other cases
 - the sum of the throats of the weld fillets at the edges of these plates is not less than the thickness of the plates themselves
 - the structural test is carried out with a head increased by 1 m with respect to Ch 11, Sec 3, [1.4].
2.1.3 Vented cofferdam may be required to separate heated oil fuel tanks from enclosed spaces located directly above (see Pt C, Ch 1, Sec 10, [11.7.2], item a)).
</t>
  </si>
  <si>
    <t>B-2-2-4.1 The fore peak and other compartments located forward of the collision bulkhead cannot be used for the carriage of fuel oil or other flammable products.</t>
  </si>
  <si>
    <t>B-2-2-8.1.1 The arrangements for the storage, distribution and utilisation of the fuel oil are to be such as to ensure the safety of the ship and persons on board.</t>
  </si>
  <si>
    <t xml:space="preserve">B-2-3-2.1  Inner bottom manholes
Inner bottom manholes are to be not less than 0,40 m x 0,40 m. Their number and location are to be so arranged as to provide convenient access to any part of the double bottom.
Inner bottom manholes are to be closed by watertight plate covers.
Doubling plates are to be fitted on the covers, where secured by bolts.
Where no ceiling is fitted, covers are to be adequately protected from damage by the cargo.
</t>
  </si>
  <si>
    <t xml:space="preserve">B-2-3-2.2  Floor and girder manholes
Manholes are to be provided in floors and girders so as to provide convenient access to all parts of the double bottom.
The size of manholes and lightening holes in floors and girders is, in general, to be less than 50 per cent of the local height of the double bottom.
Where manholes of greater sizes are needed, edge reinforcement by means of flat bar rings or other suitable stiffeners may be required.
Manholes may not be cut into the continuous centreline girder or floors and girders below pillars, except where allowed by the Society on a case by case basis.
</t>
  </si>
  <si>
    <t xml:space="preserve">B-2-3-3.2.1 Tanks and subdivisions of tanks having lengths of 35 m and above are to be fitted with at least two access hatchways and ladders, as far apart as practicable longitudinally.
Tanks less than 35 m in length are to be served by at least one access hatchway and ladder.
</t>
  </si>
  <si>
    <t xml:space="preserve">B-2-3-3.2.2 The dimensions of any access hatchway are to be sufficient to allow a person wearing a self-contained breathing apparatus to ascend or descend the ladder without obstruction and also to provide a clear opening to facilitate the hoisting of an injured person from the bottom of the tank. In no case is the clear opening to be less than 0,36 m2 and its length 0,50 m.
</t>
  </si>
  <si>
    <t xml:space="preserve">B-2-3-3.3.4  Manholes
Where manholes are fitted, access is to be facilitated by means of steps and hand grips with platform landings on each side.
</t>
  </si>
  <si>
    <t xml:space="preserve">6-2-12.5.2 Where a battery compartment ventilator is required to be fitted with a closing device in accordance with Pt 3, Ch 12, 2.3 Closing appliances 2.3.9, a warning notice clearly stating the purpose of the closing device, for example: 
'This closing device is to be kept open and only closed in the event of a fire or flooding – Explosive gas atmosphere' is to be provided at the closing device to mitigate the possibility of inadvertent closing of the ventilator. Furthermore, means to lock the battery compartment ventilators in the open position are to be provided. 
</t>
  </si>
  <si>
    <t xml:space="preserve">6-2-12.5.3 Ducted natural ventilation may be employed for battery installations connected to a charging device with a power output of 2 kW or less, provided the exhaust duct can be run directly from the top of the compartment or box to the open air above, with no part of the duct more than 45° from the vertical. A suitable opening is also to be provided below the level of the top of the batteries, so as to ensure a free ventilation air flow. The ventilation duct is to have an area not less than 50 cm2 for every 1 m3 of battery compartment or box volume. 
</t>
  </si>
  <si>
    <t xml:space="preserve">6-2-12.5.4 Where natural ventilation is impracticable or insufficient, mechanical ventilation is to be provided, with the air inlet located near the floor and the exhaust at the top of the compartment. 
</t>
  </si>
  <si>
    <t xml:space="preserve">6-2-12.5.5 Mechanical exhaust ventilation complying with Pt 6, Ch 2, 12.5 Ventilation 12.5.9 is to be provided for battery installations connected to a charging device with a total maximum power output of more than 2 kW. Also, to minimise the possibility of oxygen enrichment, compartments and spaces containing batteries with boost charging facilities are to be provided with mechanical exhaust ventilation irrespective of the charging device power output. 
</t>
  </si>
  <si>
    <t xml:space="preserve">6-2-12.5.6 The ventilation system for battery compartments and boxes, other than boxes located on open deck or in spaces to which Pt 6, Ch 2, 12.3 Location 12.3.2, Pt 6, Ch 2, 12.3 Location 12.3.3 and Pt 6, Ch 2, 12.3 Location 12.3.5 refer, is to be separate from other ventilation systems. The exhaust ducting is to be led to a location in the open air, where any gases can be safely diluted, away from possible sources of ignition and openings into spaces where gases may accumulate. 
</t>
  </si>
  <si>
    <t xml:space="preserve">6-2-12.5.7 Fan motors associated with exhaust ducts from battery compartments are to be placed external to the ducts and the compartments. 
</t>
  </si>
  <si>
    <t xml:space="preserve">6-2-12.5.8 Ventilating fans for battery compartments are to be so constructed and be of material such as to minimise risk of sparking in the event of the impeller touching the casing. Non-metallic-impellers are to be of an anti-static material. 
</t>
  </si>
  <si>
    <t xml:space="preserve">6-2-12.5.9 Battery boxes are to be provided with sufficient ventilation openings located so as to avoid accumulation of flammable gas whilst preventing the entrance of rain or spray. 
</t>
  </si>
  <si>
    <t>Ship side connections for blow-down of boilers</t>
  </si>
  <si>
    <t xml:space="preserve">C-1-10-2.8.5  Ship side connections for blow-down of boilers
Blow-down pipes of boilers are to be provided with cocks or valves placed as near the end of the pipes as possible, while remaining readily accessible and located above the engine room floor.
Blow-down valves are to be so designed that it is easy to ascertain whether they are open or shut. Where cocks are used, the control keys are to be such that they cannot be taken off unless the cocks are shut. Where valves are used, the control-wheels are to be permanently fixed to the spindle.
A protection ring is to be fitted on the shell plating, outside, at the end of the blow-down pipes. The spigot of the valve referred to in [2.8.3], item b), is to pass through this ring.
</t>
  </si>
  <si>
    <t>300 373</t>
  </si>
  <si>
    <t xml:space="preserve">D-11-4-1.6.1 
When fixed pressure water-spraying fire-extinguishing systems are fitted, in view of the serious loss of stability which could arise due to large quantities of water accumulating on the deck or decks during the operation of the fixed pressure water-spraying system, the following arrangements shall be provided:
a.  in the spaces above the bulkhead deck, scuppers shall be fitted so as to ensure that such water is rapidly discharged directly overboard, taking into account IMO Circular MSC.1/Circ.1320
b.  
1.  in ro-ro passenger ships, discharge valves for scuppers, fitted with positive means of closing operable from a position above the bulkhead deck in accordance with the requirements of the International Convention on Load Lines in force, shall be kept open while the ships are at sea
2.  any operation of valves referred to in 1) shall be recorded in the log-book
c.  in the spaces below the bulkhead deck, the Society may require pumping and drainage facilities to be provided additional to the requirements above and to those of Pt C, Ch 1, Sec 10. In such case, the drainage system shall be sized to remove no less than 125% of the combined capacity of both the water-spraying system pumps and the required number of fire hose nozzles. The drainage system valves shall be operable from outside the protected space at a position in the vicinity of the extinguishing system controls. Bilge wells shall be of sufficient holding capacity and shall be arranged at the side shell of the ship at a distance from each other of not more than 40 m in each watertight compartment.
</t>
  </si>
  <si>
    <t xml:space="preserve">D-11-4-3.1.1 For steering gear arrangements without auxiliary means for steering, see Ch 15, Sec 4, [24.3.2].
</t>
  </si>
  <si>
    <t xml:space="preserve">D-11-4-2.1.1 Water ballast should not in general be carried in tanks intended for fuel oil. In ships in which it is not practicable to avoid putting water in fuel oil tanks, oily-water separating equipment to the satisfaction of the Society shall be fitted, or other alternative means, such as discharge to shore facilities shall be provided for disposing of the oily-water ballast.
</t>
  </si>
  <si>
    <t xml:space="preserve">D-11-4-3.2.1 For oil-level gauges, see Pt C, Ch 1, Sec 10, [11.6.7].
</t>
  </si>
  <si>
    <t xml:space="preserve">D-1-3-1.1.1  Prevention of build-up of free surfaces
In cargo spaces intended for the carriage of motor vehicles with fuel in their tanks for their own propulsion and fitted with a fixed pressure water-spraying fire-extinguishing system, the drainage arrangement is to be such as to prevent the build-up of free surfaces. If this is not possible, the adverse effect upon stability of the added weight and free surface of water is to be taken into account to the extent deemed necessary by the Society in its approval of the stability information.
</t>
  </si>
  <si>
    <t xml:space="preserve">D-1-3-1.1.2  Scupper draining
Scuppers from cargo spaces intended for the carriage of motor vehicles with fuel in their tanks for their own propulsion are not to be led to machinery or other places where sources of ignition may be present.
</t>
  </si>
  <si>
    <t xml:space="preserve">D-15-4-24.3.2  The auxiliary steering gear is to be:
a.  of adequate strength and sufficient to steer the ship at navigable speed and capable of being brought speedily into action in an emergency,
b.  capable of putting the rudder over from 15° on one side to 15° on the other side in not more than 60s with the ship at its deepest seagoing draught and running ahead at one half of the maximum ahead service speed or 7 knots, whichever is the greater, and
c.  operated by power where necessary to meet the requirements of b).
</t>
  </si>
  <si>
    <t xml:space="preserve">F-11-11-2.2.1 Operation of the propulsion system and other
essential systems
a) As a general rule, the temperature inside the machinery compartments is to be kept above a minimum value allowing the equipment located in those compartments to operate without restrictions. This applies in particular to the propulsion plant, the electricity generation plant, the emergency generating set, the emergency fire pump and auxiliary systems (such as fuel oil transfer, supply and return piping systems, lubricating oil systems, cooling systems, sewage systems, etc.) and to other essential systems as defined in Pt C, Ch 2, Sec 1.
b) The ventilation capacity can be adjusted so as to limit the heat losses. It should however satisfy the engine needs of combustion air while avoiding excessive vacuum in the compartment.
Note 1: The attention is drawn to any requirements which may impose a minimum number of air changes in the compartment, in particular to avoid flammable oil or gas accumulation.
</t>
  </si>
  <si>
    <t xml:space="preserve">F-11-11-2.2.1c  Working liquids (such as fuel oil, lubricating oil, hydraulic
oil) are to be maintained in a viscosity range that
ensures proper operation of the machinery.
</t>
  </si>
  <si>
    <t xml:space="preserve">F-11-11-2.2.2 
a) Arrangements are to be made to avoid the build-up of ice inside air pipes (in particular those connected to sea chests, cooling water recirculation tanks and ballast tanks) and inside their automatic closing devices, where fitted.
b) It also applies to:
• sounding pipes and overflow pipes serving cooling water recirculation tanks and water ballast tanks
• piping systems located in exposed areas, including ro-ro spaces, such as compressed air lines, steam lines or steam drain lines when not in use
• spray water lines
• exposed deck scuppers, washing lines and discharge lines.
Note 1: The above mentioned systems are to be drained when not in use.
</t>
  </si>
  <si>
    <t xml:space="preserve">F-11-11-2.2.2.c  The fire main is to be arranged so that exposed sections
can be isolated and means of draining of exposed sections are to be provided. Fire hoses and nozzles need not be connected to the fire main at all times, and may be stored in protected locations near the hydrants.
Note 1: The above mentioned systems are to be drained when not
in use.
</t>
  </si>
  <si>
    <t xml:space="preserve">F-11-11-2.3.1 
a) The pipes subject to ice build-up (see [2.2.2]) are to be placed in unexposed locations, or protected by screening, heat tracing or other suitable arrangement.
b) Where provided, the insulation material is to be protected by a suitable sheath so designed as to withstand possible sea impacts.
c) Exposed scuppers and discharge pipes are to be arranged with heat tracing.
</t>
  </si>
  <si>
    <t xml:space="preserve">F-11-11-2.3.2 Instrumentation
a) Provisions are to be made to ensure a satisfactory operation
of the level sensors and remote gauging indicators in ballast tanks.
b) Temperature sensors are to be provided in each ballast tank, giving an alarm in case of low temperature in the tank.
Note 1: The temperature alarms are to be inhibited when the ballast capacities are not used.
c) Temperature and pressure sensors are to be fitted in sea bay, so as to generate an alarm.
d) Ballast pumps are to be fitted with alarm and shutdown, in case of low pressure at the pump suction.
</t>
  </si>
  <si>
    <t xml:space="preserve">F-11-11-3.2.2  heated bridge windows and heated cargo control room
windows, including arrangement for heating/isolating the windows washing water system, which avoid formation of ice, or mist reducing the visibility through the windows.
</t>
  </si>
  <si>
    <t xml:space="preserve">F-11-11-3.2.2  heating of bunker lines on deck, when electrical heat
tracing is provided together with insulation
</t>
  </si>
  <si>
    <t>F-11-11-3.2.2  heating of scupper lines when electrical heat tracing is
provided</t>
  </si>
  <si>
    <t>F-11-11-3.2.2  heating of whistle</t>
  </si>
  <si>
    <t xml:space="preserve">F-11-11-3.2.2  sequence of ventilation in loop in the air inlet compartment
so as to avoid ice formation on air intakes for HVAC, machinery room, and emergency generator room.
</t>
  </si>
  <si>
    <t xml:space="preserve">F-11-11-4.5.1 The HVAC plant is to be designed so as to ensure adequate temperature in the accommodation with outside air temperature. Arrangement is made to control humidity.
</t>
  </si>
  <si>
    <t xml:space="preserve">F-11-11-6.1.2  The materials of pipes and other equipment located on
open deck and not insulated are to be suitable for the temperature
tDE. The materials of pipes are to comply with recognized
standards such as EN10216-4, EN10217-6, etc.
The use of cast iron and other brittle materials are not permitted
in areas exposed to low temperature.
Gaskets, jointing materials and seals are to be suitable for
the temperature tDE.
</t>
  </si>
  <si>
    <t xml:space="preserve">F-11-11-6.2.1 
a) Arrangements are to be made to ensure that the machinery
can be brought into operation from the dead ship
condition assuming an air temperature of tDE.
b) A partial reduction in propulsion capability may be
accepted in cold weather conditions provided that the
safety of the ship is not impaired.
Note 1: The reduced power is not to be lower than the minimum
power required by the ice class notation, where applicable.
</t>
  </si>
  <si>
    <t xml:space="preserve">F-11-11-6.2.2  Arrangements are to be made to avoid any blockage by ice
of:
• the sea inlets
• the overboard discharges situated above the water line as well as up to 1 m below the ballast water line.
</t>
  </si>
  <si>
    <t xml:space="preserve">F-11-11-6.2.3 
a) Arrangements are to be provided to prevent water ballast freezing in tanks adjacent to the shell and located totally or partly above the ballast water line.
b) The following systems will be accepted to prevent water ballast freezing:
• heating systems
• internal circulating / pumping systems
• bubbling systems
• steam injection systems.
c) This also applies to other tanks subject to freezing (such as fresh water, fuel oil).
</t>
  </si>
  <si>
    <t>F-11-11-6.2.4   Air vent heads are to be fitted with de-icing device.</t>
  </si>
  <si>
    <t>F-11-11-6.2.4  Air vents heads are to be fitted with de-icing device.</t>
  </si>
  <si>
    <t xml:space="preserve">F-11-11-6.2.4  At least one of the fire pumps is to be connected to the sea
inlet referred to in [6.3.1].
</t>
  </si>
  <si>
    <t xml:space="preserve">F-11-11-6.2.4  When fixed water-based firefighting systems are located in a space separate from the main fire pumps and use their own independent sea suction, this sea suction is to be also capable of being cleared of ice  accumulation (design requirement as specified in [6.3.1], item c)).
Refer also to Pt C, Ch 4, Sec 6, [1.2.1].
</t>
  </si>
  <si>
    <t xml:space="preserve">F-11-11-6.3.1 
a) The ship is to be provided with at least one sea bay from which pumps supplying cooling water to essential machinery draw.
b) The sea bay is to:
• be supplied with water from at least two sea chests, and
• be connected to the sea chests by pipes, valves and strainers with a cross sectional area equal to the total area of the suctions served by the sea bay.
c) The sea chests are to:
• be fitted on each side of the ship
• be as deeply submerged as possible
• have an open area to the sea of at least five times the total area of the pump suctions served by the sea bay
• be fitted with a strainer plate at the ship's side having perforations  approximately 20 mm diameter to prevent ingestion of large ice particles
• be fitted with a steam or compressed air connection for clearing the strainer complying with Pt C, Ch 1, Sec 10, [2.8.4], item e).
d) Diversion valves and piping are to be provided at overboard cooling water discharges to permit warm water to be returned to the sea chests to prevent blockage.
e) Suction pipes are to be connected as low as possible to the sea chest.
Note 1: Other arrangements affording equivalent availability of the
cooling water supply can also be considered. Engine cooling systems
served by water ballasts may be accepted subject to special
consideration.
</t>
  </si>
  <si>
    <t xml:space="preserve">F-11-11-6.3.2 
a) Onboard ships where flammable cargo vapours may enter the ballast tanks in case of structural damage, the temperature of any part of the heating system is not to exceed the maximum temperature allowed for the cargo.
b) The heating lines including the return lines are to be independent from those serving the cargo tanks.
c) Heating coils which are not in use are to be drained.
</t>
  </si>
  <si>
    <t xml:space="preserve">F-11-11-6.3.3 
a) Bubbling systems are to be so designed as to avoid any ice formation in the tank which may be detrimental to the tank structure.
b) The bubbling system is to include a sufficient number of air nozzles distributed throughout the tank bottom.
c) The maximum pressure induced in the tank by the air supply system is not to exceed the design pressure of the tank.
d) The bubbling system may be served:
• either by a dedicated compressed air plant, or
• by the general service air system provided its capacity takes into account the air consumption of the bubbling system.
</t>
  </si>
  <si>
    <t xml:space="preserve">F-11-11-6.3.4  Provisions are to be made to prevent over-pressurizing the tanks and sea chests when the air or steam injection system is operating. Pressure reduction devices are to be fitted where deemed necessary.
</t>
  </si>
  <si>
    <t xml:space="preserve">F-11-11-6.3.5  The design and arrangement of the pipe supports and collars are to take into account the weight of ice accretion, which is calculated in accordance with the provisions of [5.2.2].
</t>
  </si>
  <si>
    <t>F-3-1-1.2.1 For ships whose gross tonnage is less than 500 and propulsive power less than 1 MW, the requirements laid down in [5.4.3] do not apply.</t>
  </si>
  <si>
    <t>F-3-1-1.2.2 For ships whose gross tonnage is less than 500 and propulsive power per main engine less than 1 MW, the requirements laid down in [4], except [4.1.3], do not apply.</t>
  </si>
  <si>
    <t>F-3-1-1.2.3 For ships whose gross tonnage is less than 500 and propulsive power less than 1 MW, automatic stop is to be provided for lubricating oil failure of engines, reduction gears, clutches and reversing gears. A possible override of this automatic stop is to be available at the control stations, and an indication is to be provided at each control station, when override is activated.</t>
  </si>
  <si>
    <t>F-3-1-1.2.4 The requirements laid down in [3.3.1] do not apply to cargo ships of less than 1 600 tons gross tonnage, insofar as the arrangements of the machinery space access make it unnecessary.</t>
  </si>
  <si>
    <t xml:space="preserve">F-3-1-1.2.5 Fishing vessels of less than 45m in length are exempted from the application of:
 - alarm system requirements given in [5.2.3] and [5.4.2]
 - fire detection system requirements given in [3.2] insofar as the location of the spaces considered allows people on board to detect fire outbreaks easily, and
 - requirements given in [3.4.3].
</t>
  </si>
  <si>
    <t xml:space="preserve">F-3-1-1.2.6 Fishing vessels of less than 75 m in length are exempted from the application of the requirements laid down in [1.3.2], [3.1.2] and [3.3.1].
</t>
  </si>
  <si>
    <t xml:space="preserve">F-3-1-2.1.1 In addition to those mentioned in  Pt C, Ch 3, Sec 1, Tab 1, the documents in  Tab 1 are required: System of protection against flooding.
</t>
  </si>
  <si>
    <t>F-3-1-3.1.1  Where daily service oil fuel tanks are filled automatically, or by remote control, means shall be provided to prevent overflow spillages.</t>
  </si>
  <si>
    <t>F-3-1-3.1.2 Where heating is necessary, it is to be arranged with automatic control. A high temperature alarm is to be fitted and the possibility of adjusting its threshold according to the fuel quality is to be provided. Such alarm may be omitted if it is demonstrated that the temperature in the tank cannot exceed the flashpoint under the following conditions: volume of liquid corresponding to the low level alarm and maximum continuous heating power during 24 hours.</t>
  </si>
  <si>
    <t xml:space="preserve">F-3-1-3.2.1 For fire detection, the requirements given in Pt C, Ch 4, Sec 3 are applicable.
</t>
  </si>
  <si>
    <t xml:space="preserve">F-3-1-3.2.10 Fire detector zones are to be arranged in a manner that will enable the operating staff to locate the seat of the fire. The arrangement and the number of loops and the location of detector heads are to be approved in each case. Air currents created by the machinery are not to render the detection system ineffective.
</t>
  </si>
  <si>
    <t xml:space="preserve">F-3-1-3.2.11 When fire detectors are provided with the means to adjust their sensitivity, necessary arrangements are to be allowed to fix and identify the set point.
</t>
  </si>
  <si>
    <t>F-3-1-3.2.12 When it is intended that a particular loop or detector is to be temporarily switched off, this state is to be clearly indicated. Reactivation of the loop or detector is to be performed automatically after a preset time.</t>
  </si>
  <si>
    <t xml:space="preserve">F-3-1-3.2.2 
Means are to be provided to detect and give alarms at an early stage in case of fires:
 - in boiler air supply casing and exhausts (uptakes), and
 - in scavenging air belts of propulsion machinery
unless the Society considers this to be unnecessary in a particular case.
Especially, it is deemed unnecessary to provide means to detect fires at an early stage and give alarms in the following cases:
 - For boilers with no inherent fire risk in the air supply casing, i.e. boilers with no heat exchangers (e.g. rotary heat exchangers) having surfaces exposed alternately to air and flue gas.
 - For boilers with no inherent fire risk in the flue gas uptake, i.e. boilers with no heat exchangers using flue gases as the heating medium e.g. air/water preheaters or economisers.
</t>
  </si>
  <si>
    <t xml:space="preserve">F-3-1-3.2.3  Location of fire detectors for boilers
The means to detect and give alarms at an early stage in cases of fires in boiler air supply casing and exhausts are to be located at a representative location:
 - Either in the air supply casing or in the fuel gas uptake for boilers with heat exchangers having surfaces exposed alternatively to air and flue gas.
 - In the flue gas uptake for boilers with heat exchangers using flue gases as the heating medium e.g. air/water preheaters or economisers.
</t>
  </si>
  <si>
    <t xml:space="preserve">F-3-1-3.2.4 An automatic fire detection system is to be fitted in machinery spaces as defined in Pt C, Ch 1, Sec 1, [1.4.1] intended to be unattended.
</t>
  </si>
  <si>
    <t xml:space="preserve">F-3-1-3.2.5 The fire detection system is to be designed with self-monitoring properties. Power or system failures are to initiate an audible alarm distinguishable from the fire alarm.
</t>
  </si>
  <si>
    <t xml:space="preserve">F-3-1-3.2.6 The fire detection indicating panel is to be located on the navigating bridge, fire control station, or other accessible place where a fire in the machinery space will not render it inoperative.
</t>
  </si>
  <si>
    <t xml:space="preserve">F-3-1-3.2.7 The fire detection indicating panel is to indicate the place of the detected fire in accordance with the arranged fire zones by means of a visual signal. Audible signals clearly distinguishable in character from any other signals are to be audible throughout the navigating bridge and the accommodation area of the personnel responsible for the operation of the machinery space.
</t>
  </si>
  <si>
    <t xml:space="preserve">F-3-1-3.2.8 Fire detectors are to be of such type and so located that they will rapidly detect the onset of fire in conditions normally present in the machinery space. Consideration is to be given to avoiding false alarms. The type and location of detectors are to be approved by the Society and a combination of detector types is recommended in order to enable the system to react to more than one type of fire symptom.
</t>
  </si>
  <si>
    <t xml:space="preserve">F-3-1-3.2.9 Except in spaces of restricted height and where their use is specially appropriate, detection systems using thermal detectors only are not permitted. Flame detectors may be installed, although they are to be considered as complementary and are not to replace the main installation.
</t>
  </si>
  <si>
    <t xml:space="preserve">F-3-1-3.3.1 Unless otherwise stated, pressurisation of the fire main at a suitable pressure by starting a main fire pump and carrying out the other necessary operations is to be possible from the navigation bridge and fire control station. Alternatively, the fire main system may be permanently under pressure.
</t>
  </si>
  <si>
    <t xml:space="preserve">F-3-1-3.3.2 The arrangements for the ready availability of water supply are to be:
 - in passenger ships of 1 000 gross tonnage and upwards, such that at least one effective jet of water is immediately available from any hydrant in an interior location and so as to allow the continuation of the output of water by the automatic starting of a required fire pump
 - in passenger ships of less than 1 000 gross tonnage and in cargo ships, to the satisfaction of the Society.
</t>
  </si>
  <si>
    <t xml:space="preserve">F-3-1-3.3.3 In addition to the fire-extinguishing arrangements mentioned in Part C, Chapter 4, periodically unattended spaces containing steam turbines (whose power is at least 375 kW) are to be provided with one of the fixed fire-extinguishing systems required in the same chapter for machinery spaces of category A containing oil fired boilers or fuel oil units.
</t>
  </si>
  <si>
    <t>F-3-1-3.3.4 Local application fire-extinguishing system provided in machinery spaces of category A in accordance with Pt C, Ch 4, Sec 6, [4.7.2] are to have an automatic release capability in addition to the manual release.</t>
  </si>
  <si>
    <t xml:space="preserve">F-3-1-3.4.1 Bilge wells or machinery spaces bilge levels are to be monitored in such a way that the accumulation of liquid is detected in normal angles of trim and heel, and are to be large enough to accommodate easily the normal drainage during the unattended period.
</t>
  </si>
  <si>
    <t>F-3-1-3.4.2  Where the bilge pumps are capable of being started automatically, means shall be provided to indicate when the influx of liquid is greater than the pump capacity or when the pump is operating more frequently than would normally be expected.</t>
  </si>
  <si>
    <t xml:space="preserve">F-3-1-3.4.3  The location of the controls of any valve serving a sea inlet, a discharge below the waterline or a bilge injection system shall be so sited as to allow adequate time for operation in case of influx of water to the space, having regard to the time likely to be required in order to reach and operate such controls. If the level to which the space could become flooded with the ship in the fully loaded condition so requires, arrangements shall be made to operate the controls from a position above such level.
A calculation is to be carried out to show that the time taken from alarm activation plus the time to reach and fully close manually operated or powered valves is less than the time taken for the influx of water to reach the control without submergence of the platform on which the person is operating the valves. If necessary a remote control device is to be fitted above the level.
Note 1 :   The time it takes for the influx of water to reach the control of valves should be based on a breach in the largest diameter seawater line in the lowest location in the engine room when the ship is fully loaded.
Note 2 :   The time it takes to reach the sea valves should be determined based on the distance between the navigation bridge and the platform from where the valves associated with the aforementioned seawater line are manually operated (or the actuator for valves controlled by stored mechanical energy).
Note 3 :   In the event calculations are not available, 10 minutes shall be regarded as adequate time for operation unless other requirements are specified by the flag Administration.
</t>
  </si>
  <si>
    <t xml:space="preserve">F-3-1-4.8.3 When the propulsion plant is divided into two or more separate units, the automatic standby auxiliary may be omitted, when the sub-units concerned are fully separated with regard to power supply, cooling system, lubricating system etc.
Some of the propulsive plants may be partially used for reasons of economy (use of one shaft line or one propulsion engine for instance). If so, automatic change-over, necessary for this exploitation mode, is to be provided.
</t>
  </si>
  <si>
    <t xml:space="preserve">F-3-1-4.8.4 Means shall be provided to keep the starting air pressure at the required level where internal combustion engines are used for main propulsion.
</t>
  </si>
  <si>
    <t xml:space="preserve">F-3-1-4.8.5 
Where daily service fuel oil tanks are filled automatically, or by remote control, means shall be provided to prevent overflow spillages.
</t>
  </si>
  <si>
    <t xml:space="preserve">F-3-1-4.8.6 Arrangements are to be provided to prevent overflow spillages coming from equipment treating flammable liquids.
</t>
  </si>
  <si>
    <t xml:space="preserve">F-3-1-4.8.7 
Where daily service fuel oil tanks or settling tanks are fitted with heating arrangements, a high temperature alarm shall be provided if the flashpoint of the fuel oil can be exceeded.
</t>
  </si>
  <si>
    <t>F-3-1-Diesel engines installed on ships are to be equipped with:
a) Indicators, as detailed below:
 - for auxiliary engine of 1000 kW and above:
The requirements laid down in  Pt C, Ch 1, Sec 2, Tab 4,  Pt C, Ch 1, Sec 2, Tab 5 and  Pt C, Ch 1, Sec 2, Tab 6 apply
 - for propulsion engine or auxiliary engine with a power less than 1000 kW:
    - lubrication oil pressure indication
    - fresh water temperature indication.
The indicators are to be fitted at a normally centralised control position.
b) Alarms, as detailed below:
 - for auxiliary engine of 1000 kW and above:
The requirements laid down in  Pt C, Ch 1, Sec 2, Tab 4,  Pt C, Ch 1, Sec 2, Tab 5 and  Pt C, Ch 1, Sec 2, Tab 6 apply
 - for propulsion engine or auxiliary engine with a power less than 1000 kW:
    - lubrication oil low pressure alarm
    - very low lubricating oil pressure alarm
    - overspeed alarm.
The alarms are to be visual and audible at a centralised control position.
c) Automatic control, as detailed below:
 - for auxiliary engine of 1000 kW and above:
The requirements laid down in  Pt C, Ch 1, Sec 2, Tab 4,  Pt C, Ch 1, Sec 2, Tab 5 and  Pt C, Ch 1, Sec 2, Tab 6 apply
 - for propulsion engine or auxiliary engine with a power less than 1000 kW:
    - shut-down on very low lubricating oil pressure
    - shut-down on overspeed.</t>
  </si>
  <si>
    <t xml:space="preserve">F-3-4-3
3.2.1 In addition to that required in Ch 3, Sec 1, [3.2], fire detection is also to be provided in rooms containing oil hydraulic equipment, operated without watch-keeping personnel, and adjacent to such rooms or to those listed in Ch 3, Sec 1, [3.2].
3.2.2 Fire detection is to be able to detect either smoke or combustion gas.
3.2.3 Each detector is to be provided with a clear indicator showing that it is activated by a fire. A repeater of this indicator is required for detectors situated in spaces which are not easily accessible or can be locked, such as fuel or oil purifier rooms, workshops, stores, etc.
Repeaters may be omitted for fixed fire detection and fire alarm system with remotely and individually identifiable fire detectors (i.e. addressable fire detectors).
</t>
  </si>
  <si>
    <t xml:space="preserve">F-3-4-3.1.1 The height of oil-tight coamings of boiler gutterways is to be designed in accordance with Pt C, Ch 1, Sec 10, [5.10.4]. Other gutterways are to have a coaming height not less than 150 mm. Their drain inlet is to be fitted with suitable protection such as a grid or small welded rods. Drain pipes are to be sufficiently large and free from sharp bends or horizontal or rising portions.
The height of gutterway coamings around the fuel oil components of diesel engines (injection pumps, filters, etc.) may, due to their small dimensions, be reduced to 75 mm.
On small diesel engines, when construction of such gutterways around the aforesaid devices is difficult, a gutterway of 150 mm height around the considered engine is acceptable.
</t>
  </si>
  <si>
    <t>F-3-4-3.1.2 The fastening of connections (nuts, screw, etc.) of lubricating oil or fuel oil pipes above 1,8 bar pressure is to be locked.</t>
  </si>
  <si>
    <t>F-3-4-3.1.3 In addition to the requirements of Ch 3, Sec 1, [3.1], lubricating oil and fuel oil tanks are to be provided with a high level alarm.</t>
  </si>
  <si>
    <t>F-3-4-3.3.2 The emergency stop of machinery space ventilation is to be possible from the navigating bridge or in proximity.</t>
  </si>
  <si>
    <t xml:space="preserve">F-3-4-3.4.1 An alarm is to be given on the navigating bridge in the event of flooding in machinery spaces situated below the load line. This alarm is to be separated from the others, individual for each machinery space and triggered early, at flooding outset.
</t>
  </si>
  <si>
    <t xml:space="preserve">F-3-4-5.2.1 Compressed air is to be supplied from two sources having sufficient flow rate to allow normal operation while one is out of service. The pressure is to be automatically maintained at a value allowing satisfactory operation of the installation.
</t>
  </si>
  <si>
    <t xml:space="preserve">F-3-4-5.2.2 One or more air vessels fitted with non-return valves are to be provided and reserved for monitoring and control installations.
</t>
  </si>
  <si>
    <t xml:space="preserve">F-3-4-5.2.3 If compressed air used for monitoring and control circuits is supplied by reducing valves, the latter are to be duplicated, together with their filters, unless an emergency air supply is provided.
</t>
  </si>
  <si>
    <t xml:space="preserve">F-3-4-5.2.4 Necessary provision is to be made to ensure continuous and automatic cooling, filtering, dehydration and oil separation of the compressed air prior to its introduction into the monitoring and control circuits.
</t>
  </si>
  <si>
    <t xml:space="preserve">F-3-4-5.2.5 When oiling of the air is necessary for the lubrication of some pneumatic components, it is to be done directly to the supply side of these components.
</t>
  </si>
  <si>
    <t xml:space="preserve">F-3-4-5.3
5.3.1 At least two feed pumps are to be provided so that the pressure in circuits can be maintained while one of the pumps is out of service. Piping and accessories are to be so arranged that it is possible to carry out maintenance and repairs on one pump while the second remains in operation.
5.3.2 The capacity of the tanks is to be sufficient to ensure:
the maintenance of a suitable level in normal service and during stop periods
the settling of impurities and the air-freeing of the liquid.
5.3.3 The filling and return piping for these tanks is to be so arranged as to avoid any abnormal turbulence and excessive aeration of the liquid. The location of tanks and suction pipes is to ensure correct supply of the pumps.
5.3.4 The hydraulic fluids are to have appropriate and constant characteristics for their use and particularly a satisfactory viscosity at all the temperatures at which they are to operate in normal service; their flashpoint and their temperature of self-ignition or of destruction by heat are to be the highest possible. The materials used for the various parts of the circuits are to be adapted to the nature and characteristics of the liquids employed.
5.3.5 Transducers connecting pipes are to be so designed as to avoid any delay in the transmission of information, especially when viscous fluids are used.
5.3.6 Air venting facilities are to be foreseen for the various circuits.
</t>
  </si>
  <si>
    <t xml:space="preserve">F-3-4-6.2.1 The lubricating system for cylinder liners, when fitted, is to be equipped with an alarm device which operates in the event of failure of one of the distribution boxes. The monitoring is to be performed on at least two feed lines for each box and on at least one line per cylinder.
</t>
  </si>
  <si>
    <t xml:space="preserve">F-3-4-6.2.2 Drainage of the under piston spaces of cross-head engines is to be carried out either continuously or automatically at regular intervals. The frequency of the operation is to be manually adjustable to take account of the operating conditions and of the engine condition (adjusting of cylinder lubrication, condition of piston rings, etc.); in this case, an alarm is to operate if drainage has not been effected in the allotted time.
</t>
  </si>
  <si>
    <t xml:space="preserve">F-3-4-6.2.3 An alarm is to indicate any abnormal presence of water in the super-charging manifolds; in this case, unless otherwise justified, an automatic blocking of the engine start is also to be provided.
</t>
  </si>
  <si>
    <t xml:space="preserve">F-3-4-6.2.4 In a manoeuvring condition, correct engine operation is to remain ensured automatically:
 - where main engines are fed with heavy heated fuel oil in the "manoeuvring" condition, suitable arrangements are to be provided to enable long duration stops
 - if particular arrangements are necessary, such as a change in injector cooling, they are to be automated.
</t>
  </si>
  <si>
    <t xml:space="preserve">F-3-4-6.2.5 Unless justified by the Manufacturer, for remotely started engines, means are to be provided on the bridge for turning the main engine with compressed air after any intentional stop longer than 10 min. For this purpose a warning light, suitably labelled and automatically switched on, or any other equivalent arrangement, may be used.
This operation is to be possible only when the following conditions are fulfilled:
 - shaft line brake released
 - turning gear disengaged
 - fuel pump rack at zero position
 - bridge control system "on".
In addition, means are to be provided at the control station in operation to check that the turning is correctly carried out.
The remote control of turning with air from the bridge is to be suppressible from the control station or the engine room.
</t>
  </si>
  <si>
    <t xml:space="preserve">F-3-4-6.2.6 For each main engine, the bridge running station is to be provided with the following additional devices:
 - one tachometer for disengageable engines
 - a load indicator (fuel oil pump rack) or an overload alarm
 - a signal "automatic starting valve manually closed".
</t>
  </si>
  <si>
    <t xml:space="preserve">F-3-4-6.2.7 The following additional alarms are to be provided:
 - thermal engine overload (exhaust gas temperature)
 - low temperature of cylinder and/or piston coolant (except where justified such as for sea water recirculation). Furthermore, the inlet and outlet valves of each cylinder are to be locked in the open position
 - differential pressure through fuel oil filters
 - high temperature of each reduction gear, reverse gear or clutch bearing.
</t>
  </si>
  <si>
    <t xml:space="preserve">F-3-4-6.5.1 Additional requirements for the electric propulsion plant are listed in Ch 3, Sec 1, [4.6].
</t>
  </si>
  <si>
    <t xml:space="preserve">F-3-4-6.7
6.7.12 Installation of fuel oil blending units is to be submitted to the examination of the Society.
6.7.13 An alarm is to be triggered when the blending unit outflow is too low.
6.7.14 Unexpected modifications of the blend ratio are to be detected through an appropriate device. This monitoring, fitted at the blending unit heater outlet, is as a general rule to be effected:
 - by supervision of the high and low temperature when heating adjustment is carried out through a viscosimeter
 - by viscosity supervising, when heating adjustment is carried out by a thermostatic device.
6.7.15 Precautions are to be taken in order to prevent malfunction of the propulsion plant and electric power plant in case of blending unit failure (automatic change-over to light fuel oil for instance).
6.7.16 Where necessary, steps are to be taken to reduce or suppress blend heating when the heavy fuel rate is too low.
6.7.17 As a general rule, the homogeneity of the blend is to be ensured; this may involve a special arrangement, more particularly when tanks are provided between the blending unit and booster pumps.
</t>
  </si>
  <si>
    <t>F-3-4-6.7.1 Low pressure in air vessels is to trigger an alarm.</t>
  </si>
  <si>
    <t>F-3-4-6.7.10 Thermal fluid heaters heated by main engine exhaust gas are to be specially examined by the Society. Taking into account the risk inherent in this type of equipment, particular arrangements or protection may be required.
See table 6.</t>
  </si>
  <si>
    <t>F-3-4-6.7.11 Incinerators for chemical products are specially examined.</t>
  </si>
  <si>
    <t xml:space="preserve">F-3-4-6.7.18 Other evaporators than those associated to propulsion are to be provided with the arrangements listed in  Tab 7.
</t>
  </si>
  <si>
    <t xml:space="preserve">F-3-4-6.7.3 Oil fired automated auxiliary boilers necessary for propulsion (for instance necessary to fuel heating supplying the main engine) are to be fitted with continuous or on/off automatic combustion control. Furthermore, automatic firing of at least one of these boilers is to be provided after blackout.
</t>
  </si>
  <si>
    <t xml:space="preserve">F-3-4-6.7.4 Package burner units, which could cause serious fires where they break their fastening or in the event of accidental or inadvertent removal from the boiler, with the possibility of automatic firing in that position, are to be provided with appropriate safety devices, such as:
additional mechanical support of heavy units
micro switch included in the firing sequence, or equivalent.
</t>
  </si>
  <si>
    <t xml:space="preserve">F-3-4-6.7.5 Where a burner is switched off, fuel pressure before the last valve is to be automatically suppressed or notably reduced by an arrangement provided for this purpose.
</t>
  </si>
  <si>
    <t xml:space="preserve">F-3-4-6.7.6 The additional arrangements listed in  Tab 5 are to be provided. However, they are not compulsory for auxiliary boilers used for cargo or accommodation heating only.
</t>
  </si>
  <si>
    <t xml:space="preserve">F-3-4-6.7.7 Fire in an exhaust gas finned tube boiler (exhaust gas manifold high temperature) is to trigger an alarm.
</t>
  </si>
  <si>
    <t xml:space="preserve">F-3-4-6.7.9 The detection system for possible oil leakage into the boiler furnace is not to introduce any risk of fire extension (in particular in connecting to the atmosphere). In addition, the oil coming from a safety valve discharge is to be suitably collected.
</t>
  </si>
  <si>
    <t xml:space="preserve">F-3-4-6.8.1 Where the electrical power is exclusively produced by diesel generator sets, the oil quantity in the crankcase (volume contained between the maximum and minimum levels indicated by the engine builder) is to allow continuous service of 24 h at full load with 2,5 g/kW/h oil consumption. Alternatively, automatic lubricating oil make up to the crankcase may be accepted.
</t>
  </si>
  <si>
    <t xml:space="preserve">F-3-4-6.8.3 Where the number of generators in service is to vary according to operating condition, starting and connecting of supplementary generators, entailed by the use of equipment during manoeuvring, is not to require intervention in machinery spaces.
</t>
  </si>
  <si>
    <t xml:space="preserve">F-3-4-6.8.4 Where starting of the standby generating set mentioned in Pt C, Ch 2, Sec 3, [2.2] depends on emergency generating set running, precautions are to be taken to ensure automatic connecting of the latter. In particular, the following alarms are to be provided:
 - preheating and pre-lubricating failure (except where the engine Manufacturer stipulates that these operations are not indispensable)
 - starting air pressure low (or equivalent)
 - fuel oil tank level low.
</t>
  </si>
  <si>
    <t xml:space="preserve">F-3-6.6.1 The temperature of each shaft bearing fitted between the main engine (or the reduction gear) and the sterntube is to be monitored (alternatively, a group alarm associated with means to detect the fault is acceptable). This monitoring is not required for ball or roller bearings.
</t>
  </si>
  <si>
    <t>F-3-6.7.8 Any risk of introducing a heated product into a stopped oil circuit is to be prevented by appropriate means (pressurisation with nitrogen, compressed air, etc.). The additional arrangements listed in  Tab 6 are to be provided.</t>
  </si>
  <si>
    <t>B-8-10-9.1.1  Ventilator openings are to be provided with efficient weathertight closing appliances of steel or other equivalent material.</t>
  </si>
  <si>
    <t>Closing appliance exemption</t>
  </si>
  <si>
    <t>B-8-10-9.1.2  Ventilators need not be fitted with closing appliances, unless specifically required by the Society, if the coamings extend for more than:
4,5 m above the deck in position  1 
2,3 m above the deck in position 2.</t>
  </si>
  <si>
    <t>Ships of not more than 100 m in length</t>
  </si>
  <si>
    <t>B-8-10-9.1.3  In ships of not more than 100 m in length, the closing appliances are to be permanently attached to the ventilator coamings.</t>
  </si>
  <si>
    <t>B-8-10-9.1.4  Where, in ships of more than 100 m in length, the closing appliances are not permanently attached, they are to be conveniently stowed near the ventilators to which they are to be fitted.</t>
  </si>
  <si>
    <t>Ships of more than 100 m in length</t>
  </si>
  <si>
    <t>Ventilation of machinery spaces and emergency generator room</t>
  </si>
  <si>
    <t>Reduced height of ventilator coamings for machinery spaces and emergency generator room</t>
  </si>
  <si>
    <t xml:space="preserve">B-8-10-9.1.7  Closing arrangements of ventilators led overboard to the ship side or through enclosed superstructures are considered by the Society on a case by case basis. If such ventilators are led overboard more than 4,5 m above the freeboard deck, closing appliances may be omitted provided that satisfactory baffles and drainage arrangements are fitted.
</t>
  </si>
  <si>
    <t>Closing arrangements of ventilators led overboard or through enclosed superstructures</t>
  </si>
  <si>
    <t xml:space="preserve">B-8-10-9.1.7  Table 7
Height of the coaming, in mm, above the deck
h = 900 in position  1 
h = 760 in position 2
Thickness of the coaming, in mm (1)
t = 5,5 + 0,01 dV
with 7,5 ≤ t ≤ 10,0
Support
If h &gt; 900 mm, the coaming is to be suitably stiffened or supported by stays
( 1 )   Where the height of the ventilator exceeds the height h, the thickness of the coaming may be gradually reduced, above that height, to a minimum of 6,5 mm.
dV : Internal diameter of the ventilator, in mm.
</t>
  </si>
  <si>
    <t>Table 7</t>
  </si>
  <si>
    <t xml:space="preserve">B-8-10-9.2.1  Ventilators in positions 1 or 2 to spaces below freeboard decks or decks of enclosed superstructures are to have coamings of steel or other equivalent material, substantially constructed and efficiently connected to the deck.
Ventilators passing through superstructures other than enclosed superstructures are to have substantially constructed coamings of steel or other equivalent material at the freeboard deck.
</t>
  </si>
  <si>
    <t>Coamings - General</t>
  </si>
  <si>
    <t>Closing appliances - General</t>
  </si>
  <si>
    <t xml:space="preserve">B-8-10-9.2.2  The scantlings of ventilator coamings exposed to the weather are to be not less than those obtained from  Tab 7.
In exposed locations or for the purpose of compliance with buoyancy calculations, the height of coamings may be required to be increased to the satisfaction of the Society.
</t>
  </si>
  <si>
    <t>Scantlings</t>
  </si>
  <si>
    <t>General definition</t>
  </si>
  <si>
    <t xml:space="preserve">A-1-1-1.2.1 Essential service is intended to mean a service necessary for a ship to proceed at sea, be steered or manoeuvred, or undertake activities connected with its operation, and for the safety of life, as far as class is concerned.
</t>
  </si>
  <si>
    <t xml:space="preserve">B-2-2-8.1.2 As far as practicable, fuel oil tanks are to be part of the ship's structure and are to be located outside machinery spaces of category A.
Where fuel oil tanks, other than double bottom tanks, are necessarily located adjacent to or within machinery spaces of category A, at least one of their vertical sides is to be contiguous to the machinery space boundaries, they are preferably to have a common boundary with the double bottom tanks and the area of the tank boundary common with the machinery spaces is to be kept to a minimum.
Where such tanks are situated within the boundaries of machinery spaces of category A, they may not contain fuel oil having a flashpoint of less than 60°C.
</t>
  </si>
  <si>
    <t>B-2-2-8.1.3 Fuel oil tanks may not be located where spillage or leakage therefrom can constitute a hazard by falling on heated surfaces.
Precautions are to be taken to prevent any oil that may escape under pressure from any pump, filter or heater from coming into contact with heated surfaces.
Fuel oil tanks in boiler spaces may not be located immediately above the boilers or in areas subjected to high temperatures, unless special arrangements are provided in agreement with the Society.</t>
  </si>
  <si>
    <t>Valves, accessories and fittings - General</t>
  </si>
  <si>
    <t xml:space="preserve">C-1-10-5.9.2  Valves and accessories
In machinery spaces and tunnels, the cocks, valves and other accessories of the fluid lines referred to in this Section are to be placed:
above the floor, or
when this is not possible, immediately under the floor, provided provision is made for their easy access and control in service.
Control-wheels of low inlet valves are to rise at least 0,45 m above the lowest floor.
</t>
  </si>
  <si>
    <t>Valves and accessories</t>
  </si>
  <si>
    <t>Flexible hoses and expansion joints</t>
  </si>
  <si>
    <t xml:space="preserve">C-1-10-5.9.3  
a. Flexible hoses and expansion joints are to be in compliance with [2.6]. They are to be installed in clearly visible and readily accessible locations.
b. The number of flexible hoses and expansion joints is to be kept to minimum and limited for the purpose stated in [2.6.1], item c).
c. In general, flexible hoses and expansion joints are to be limited to a length necessary to provide for relative movement between fixed and flexibly mounted items of machinery/equipment or systems.
d. The installation of a flexible hose assembly or an expansion joint is to be in accordance with the manufacturer's instructions and use limitations, with particular attention to the following:
 - orientation
 - end connection support (where necessary)
 - avoidance of hose contact that could cause rubbing and abrasion
 - minimum bend radii.
e. Flexible hose assemblies or expansion joints are not to be installed where they may be subjected to torsion deformation (twisting) under normal operating conditions.
f. Where flexible hoses or an expansion joint are intended to be used in piping systems conveying flammable fluids that are in close proximity of heated surfaces, the risk of ignition due to failure of the hose assembly and subsequent release of fluids is to be mitigated, as far as practicable, by the use of screens or other similar protection, to the satisfaction of the Society.
g. The adjoining pipes are to be suitably aligned, supported, guided and anchored.
h. Isolating valves are to be provided permitting the isolation of flexible hoses intended to convey flammable oil or compressed air.
i. Expansion joints are to be protected against over extension or over compression.
j. Where they are likely to suffer external damage, flexible hoses and expansion joints of the bellows type are to be provided with adequate protection.
</t>
  </si>
  <si>
    <t xml:space="preserve">C-1-10-5.9.4  Thermometers and other temperature-detecting elements in fluid systems under pressure are to be provided with pockets built and secured so that the thermometers and detecting elements can be removed while keeping the piping under pressure.
</t>
  </si>
  <si>
    <t>Thermometers</t>
  </si>
  <si>
    <t xml:space="preserve">C-1-10-5.9.5  Pressure gauges and other similar instruments are to be fitted with an isolating valve or cock at the connection with the main pipe.
</t>
  </si>
  <si>
    <t>Pressure gauges</t>
  </si>
  <si>
    <t xml:space="preserve">C-1-10-5.9.6  Nameplates
a. Accessories such as cocks and valves on the fluid lines referred to in this Section are to be provided with nameplates indicating the apparatus and lines they serve except where, due to their location on board, there is no doubt as to their purpose.
b. Nameplates are to be fitted at the upper part of air and sounding pipes.
</t>
  </si>
  <si>
    <t>300-71</t>
  </si>
  <si>
    <t xml:space="preserve">C-1-10-5.9.1  Cocks, valves and other accessories are generally to be arranged so that they are easily visible and accessible for manoeuvring, control and maintenance. They are to be installed in such a way as to operate properly.
</t>
  </si>
  <si>
    <t>300 332 333 373</t>
  </si>
  <si>
    <t>Additional arrangements for flammable fluids - General</t>
  </si>
  <si>
    <t>32x 36x 61x</t>
  </si>
  <si>
    <t xml:space="preserve">C-1-10-5.10.1  All necessary precautions are to be taken to reduce fire risks from flammable liquids, such as:
 - drips
 - leaks under pressure
 - overflow
 - hydrocarbon accumulation in particular under lower floors
 - discharges of oil vapours during heating
 - soot or unburnt residue in smoke stacks or exhaust pipes.
Unless otherwise specified, the requirements in [5.10.3] apply to:
 - fuel oil systems, in all spaces
 - lubricating oil systems, in machinery spaces
 - other flammable oil systems, in locations where means of ignition are present.
</t>
  </si>
  <si>
    <t xml:space="preserve">C-1-10-5.10.2  In cargo ships of more than 400 tons gross tonnage and in passenger ships, fuel oil, lubricating oil and other flammable oils are not to be carried in forepeak tanks or tanks forward of the collision bulkhead.
</t>
  </si>
  <si>
    <t>Prohibition of carriage of flammable oils in forepeak tanks</t>
  </si>
  <si>
    <t>Prevention of flammable oil leakage ignition</t>
  </si>
  <si>
    <t>C-1-10-5.10.3  
a. As far as practicable, the piping arrangement in the flammable oil systems shall comply generally with the following:
 - The conveying of flammable oils through accommodation and service spaces is to be avoided. Where it is not possible, the arrangement may be subject to special consideration by the Society, provided that the pipes are of a material approved having regard to the fire risk.
 - The pipes are not to be located immediately above or close to the hot surfaces (exhaust manifolds, silencers, steam pipelines, boilers, etc.), electrical installations or other sources of ignition. Otherwise, suitably protection (screening and effective drainage to the safe position) is to be provided to prevent of spraying or leakage onto the sources of ignition.
 - Parts of the piping systems conveying heated flammable oils under pressure exceeding 0,18 MPa are to be placed above the platform or in any other position where defects and leakage can readily be observed. The machinery spaces in way of such parts are to be adequately illuminated.
b. No flammable oil tanks are to be situated where spillage or leakage therefrom can constitute a hazard by falling on:
 - hot surfaces, including those of boilers, heaters, steam pipes, exhaust manifolds and silencers
 - electrical equipment
 - air intakes
 - other sources of ignition.
c. Parts of flammable oil systems under pressure exceeding 0,18 MPa such as pumps, filters and heaters are to comply with the provisions of b) above.
d. Pipe connections, expansion joints and flexible parts of flammable oil lines are to be screened or otherwise suitably protected to avoid, as far as practicable, oil spray or oil leakages onto hot surfaces, into machinery air intakes, or on other sources of ignition. In case of additional class notation   AUT-IMS, see also Pt F, Ch 3, Sec 4, [3.1.2]. The fastening of connections (nuts, screws, etc.) of lubricating oil or fuel oil pipes above 1,8 bar pressure is to be locked.
e. Any relief valve or air vent cock fitted within the flammable liquid systems is to discharge to a safe position, such as an appropriate tank.
f. Appropriate means are to be provided to prevent undue opening (due to vibrations) of air venting cocks fitted on equipment or piping containing flammable liquid under pressure.</t>
  </si>
  <si>
    <t>Provisions for flammable oil leakage containment</t>
  </si>
  <si>
    <t xml:space="preserve">C-1-10-5.10.4  
a. Tanks used for the storage of flammable oils together with their fittings are to be so arranged as to prevent spillages due to leakage or overfilling.
b. Drip trays with adequate drainage to contain possible leakage from flammable fluid systems are to be fitted:
 - under independent tanks
 - under burners
 - under purifiers and any other oil processing equipment
 - under pumps, heat exchangers and filters
 - under valves and all accessories subject to oil leakage
 - surrounding internal combustion engines.
c. The coaming height of drip trays is to be appropriate for the service and not less than 75 mm. In case of additional class notation   AUT-IMS, see also Pt F, Ch 3, Sec 4, [3.1.1].
d. Where boilers are located in machinery spaces on `tweendecks and the boiler rooms are not separated from the machinery spaces by watertight bulkheads, the `tweendecks are to be provided with oil-tight coamings at least 200 mm in height.
e. Where drain pipes are provided for collecting leakages, they are to be led to an appropriate drain tank.
f. The draining system of the room where thermal fluid heaters are fitted, as well as the save all of the latter, are not to allow any fire extension outside this room. See also [13.3.2].
</t>
  </si>
  <si>
    <t xml:space="preserve">C-1-10-5.10.5  
a. The drain tank is not to form part of an overflow system and is to be fitted with an overflow alarm device.
b. In ships required to be fitted with a double bottom, appropriate precautions are to be taken when the drain tank is constructed in the double bottom, in order to avoid flooding of the machinery space where drip trays are located, in the event of accidentally running aground.
</t>
  </si>
  <si>
    <t xml:space="preserve">C-1-10-5.10.6  All valves and cocks forming part of flammable oil systems are to be capable of being operated from readily accessible positions and, in machinery spaces, from above the working platform.
</t>
  </si>
  <si>
    <t xml:space="preserve">C-1-10-5.10.7  Level switches fitted to flammable oil tanks are to be contained in a steel or other fire-resisting enclosure.
</t>
  </si>
  <si>
    <t>Level switches</t>
  </si>
  <si>
    <t xml:space="preserve">C-1-10-11.10.1  Alarms and safeguards are to be provided for fuel oil systems in accordance with  Tab 29:
Fuel oil overflow tank level - LAH -  (or sightglas on the overflow pipe)
Air pipe water trap level on fuel oil tanks - LAH - (or alternative arrangement as per [9.1.7], item c)
Fuel oil temperature after heaters - LAH - local - (or low flow alarm in addition to temperature control when heated) (Automatic system shutdown)
Sludge tank level - local
Fuel oil settling tank temperature - LAH - local - (when heated)
Fuel oil level in daily service tank - LAL + LAH - local -  (or sightglas on the overflow pipe)
Fuel oil daily service tank temperature - LAH - local - (when heated)
</t>
  </si>
  <si>
    <t xml:space="preserve">C-1-10-2.7.1  General
a.  Valves and accessories are normally to be built in accordance with a recognised standard. Otherwise, they are subject to special consideration for approval by the Society.
Valves and fittings in piping systems are to be compatible with the pipes to which they are attached in respect of their strength (see [1.3.2] for design pressure) and are to be suitable for effective operation at the maximum working pressure they will experience in service.
Valves and accessories which are fitted:
 - in a class I piping system, or
 - in a class II piping system, or
 - on the ship side, on the collision bulkhead, on fuel oil tanks or on lubricating oil tanks under static pressure,
are to be subject to the applicable testing and inspection required by the Rules. See [20.6.1].
b.  Shut-off valves are to be provided where necessary to isolate pumps, heat exchangers, pressure vessels, etc., from the rest of the piping system when necessary, and in particular:
 - to allow the isolation of duplicate components without interrupting the fluid circulation
 - for survey or repair purposes.
</t>
  </si>
  <si>
    <t xml:space="preserve">C-1-10-2.9.1  General
a.  Local indicators are to be provided for at least the following parameters:
 - pressure, in pressure vessels, at pump or compressor discharge, at the inlet of the equipment served, on the low pressure side of pressure reducing valves
 - temperatures, in tanks and vessels, at heat exchanger inlet and outlet
 - levels, in tanks and vessels containing liquids.
b. Safeguards are to be provided where an automatic action is necessary to restore acceptable values for a faulty parameter.
c. Automatic controls are to be provided where it is necessary to maintain parameters related to piping systems at a pre-set value.
</t>
  </si>
  <si>
    <t xml:space="preserve">C-1-15-3.5.4.g  Propulsion engines also driving power take off (PTO) generator.
- 100% engine  power  (MCR) at corresponding speed n0: at least 4 hours.
- 100% propeller branch power  at engine  speed n0 (unless covered in previous bullet point): 2 hours.
- 100% PTO branch power  at engine  speed n0: at least 1 hour.
</t>
  </si>
  <si>
    <t>Test loads of diesel engines</t>
  </si>
  <si>
    <t xml:space="preserve">C-1-15-3.5.4.d  Propulsion engines driving fixed pitch propeller or impeller.
- At rated engine speed n0: at least 4 hours.
- At engine speed 1,032 n0 (if engine adjustment permits): 30 min.
- At approved intermittent overload (if applicable): testing for duration as agreed with the manufacturer.
- Minimum engine speed to be determined.
- The ability of reversible engines to be operated in reverse direction is to be demonstrated.
</t>
  </si>
  <si>
    <t xml:space="preserve">C-1-15-3.5.4.e  Propulsion engines driving controllable pitch propellers.
- At rated engine  speed n0 with a propeller pitch leading to rated engine  power  (or to the maximum achievable power  if 100% cannot be reached): at least 4 hours.
- At approved intermittent overload (if applicable): testing for duration as agreed with the manufacturer.
- With reverse pitch suitable for manoeuvring, see  [3.5.5] for additional requirements in the case of a barred speed range.
</t>
  </si>
  <si>
    <t xml:space="preserve">C-1-15-3.5.4.f  Engine (s) driving generator(s) for electrical propulsion and/or main power  supply
- At 100% power (rated electrical power of generator): at least 60 min.
- At 110% power (rated electrical power of generator): at least 10 min.
Note 1 :   Each engine  is to be tested 100% electrical power  for at least 60 min and 110% of rated electrical power  of the generator for at least 10 min. This may, if possible, be done during the electrical propulsion plant test, which is required to be tested with 100% propulsion power  (i.e. total electric motor capacity for propulsion) by distributing the power  on as few generators as possible. The duration of this test is to be sufficient to reach stable operating temperatures of all rotating machines or for at least 4 hours. When some of the gen. set(s) cannot be tested due to insufficient time during the propulsion system test mentioned above, those required tests are to be carried out separately.
- Demonstration of the generator prime movers' and governors' ability to handle load steps as described in  Ch 1, Sec 2, [2.7].
</t>
  </si>
  <si>
    <t xml:space="preserve">C-1-15-3.5.4.h  Engines driving auxiliaries.
100% power (MCR) at corresponding speed n0: at least 30 min.
Approved intermittent overload: testing for duration as approved.
</t>
  </si>
  <si>
    <t>C-1-10-20-2.1, table 38, note 3 Extra-reinforced wall thickness applies to pipes connected to the shell below the freeboard deck.</t>
  </si>
  <si>
    <t>Minimum wall thickness for pipes to/from keel coolers</t>
  </si>
  <si>
    <t xml:space="preserve">C-4-6-1.2.2  
The arrangements for the ready availability of water supply shall be:
a.  in passenger ships:
  1.  of 1000 gross tonnage and upwards such that at least one effective jet of water is immediately available from any hydrant in an interior location and so as to ensure the continuation of the output of water by the automatic starting of one required fire pump,
  2.  of less than 1000 gross tonnage by automatic start of at least one fire pump or by remote starting from the navigation bridge of at least one fire pump. If the pump starts automatically or if the bottom valve cannot be opened from where the pump is remotely started, the bottom valve shall always be kept open, and
  3.  if fitted with periodically unattended machinery spaces, the Society shall determine provisions for fixed water fire-extinguishing arrangements for such spaces equivalent to those required for normally attended machinery spaces;
b.  in cargo ships:
with a periodically unattended machinery space or when only one person is required on watch, there shall be immediate water delivery from the fire main system at a suitable pressure, either by remote starting of one of the main fire pumps with remote starting from the navigation bridge and fire control station, if any, or permanent pressurization of the fire main system by one of the main fire pumps, except that the Society may waive this requirement for cargo ships of less than 1600 gross tonnage if the fire pump starting arrangement in the machinery space is in an easily accessible position.
</t>
  </si>
  <si>
    <t>Isolating valves</t>
  </si>
  <si>
    <t>Isolating valves and emergency fire pump</t>
  </si>
  <si>
    <t>Valve to every fire hydrant</t>
  </si>
  <si>
    <t>Relief valves</t>
  </si>
  <si>
    <t>Isolating valves on tankers</t>
  </si>
  <si>
    <t>SOLAS II-2-C-10-2.1.4.1</t>
  </si>
  <si>
    <t>SOLAS II-2-C-10-2.1.4.2</t>
  </si>
  <si>
    <t>SOLAS II-2-C-10-2.1.4.3</t>
  </si>
  <si>
    <t>SOLAS II-2-C-10-2.1.4.4</t>
  </si>
  <si>
    <t>SOLAS II-2-C-10-2.1.5.1</t>
  </si>
  <si>
    <t>SOLAS II-2-C-10-2.1.5.2</t>
  </si>
  <si>
    <t>SOLAS II-2-C-10-2.1.6</t>
  </si>
  <si>
    <t xml:space="preserve">C-4-6-1.2.4.a
Isolating valves to separate the section of the fire main within the machinery space containing the main fire pump or pumps from the rest of the fire main shall be fitted in an easily accessible and tenable position outside the machinery spaces. The fire main shall be so arranged that when the isolating valves are shut all the hydrants on the ship, except those in the machinery space referred to above, can be supplied with water by another fire pump or an emergency fire pump.
</t>
  </si>
  <si>
    <t xml:space="preserve">C-4-6-1.2.4.a
The emergency fire pump, its seawater inlet, and suction and delivery pipes and isolating valves shall be located outside the machinery space. If this arrangement cannot be made, the sea-chest may be fitted in the machinery space if the valve is remotely controlled from a position in the same compartment as the emergency fire pump and the suction pipe is as short as practicable. Short lengths of suction or discharge piping may penetrate the machinery space, provided they are enclosed in a substantial steel casing or are insulated to A-60 class standards. The pipes shall have substantial wall thickness, but in no case less than 11 mm, and shall be welded except for the flanged connection to the sea inlet valve.
</t>
  </si>
  <si>
    <t xml:space="preserve">C-4-6-1.2.4.b
A valve shall be fitted to serve each fire hydrant so that any fire hose may be removed while the fire pumps are in operation.
</t>
  </si>
  <si>
    <t xml:space="preserve">C-4-6-1.2.4.c
Relief valves shall be provided in conjunction with fire pumps if the pumps are capable of developing a pressure exceeding the design pressure of the water service pipes, hydrants and hoses. These valves shall be so placed and adjusted as to prevent excessive pressure in any part of the fire main system.
</t>
  </si>
  <si>
    <t xml:space="preserve">C-4-6-1.2.4.d
In tankers, isolation valves shall be fitted in the fire main at the poop front in a protected position and on the tank deck at intervals of not more than 40 m to preserve the integrity of the fire main system in case of fire or explosion.
</t>
  </si>
  <si>
    <t xml:space="preserve">C-4-6-1.2.5.a
The number and position of hydrants shall be such that at least two jets of water not emanating from the same hydrant, one of which shall be from a single length of hose, may reach any part of the ship normally accessible to the passengers or crew while the ship is being navigated and any part of any cargo space when empty, any ro-ro space or any vehicle space, in which latter case the two jets shall reach any part of the space, each from a single length of hose. Furthermore, such hydrants shall be positioned near the accesses to the protected spaces.
At least two hydrants are to be provided in machinery spaces of category A.
</t>
  </si>
  <si>
    <t>Number and position of hydrants</t>
  </si>
  <si>
    <t xml:space="preserve">C-4-6-1.2.5.b
In addition to the requirements in item a) above, passenger ships shall comply with the following:
  1.  in the accommodation, service and machinery spaces, the number and position of hydrants shall be such that the requirements of item a) above may be complied with when all watertight doors and all doors in main vertical zone bulkheads are closed, and
  1.  where access is provided to a machinery space of category A at a low level from an adjacent shaft tunnel, two hydrants shall be provided external to, but near the entrance to, that machinery space. Where such access is provided from other spaces, in one of those spaces two hydrants shall be provided near the entrance to the machinery space of category A. Such provision need not be made where the tunnel or adjacent spaces are not part of the escape route.
</t>
  </si>
  <si>
    <t>Materials of overboard fittings</t>
  </si>
  <si>
    <t xml:space="preserve">C-4-7-5 Materials readily rendered ineffective by heat shall not be used for overboard scuppers, sanitary discharges, and other outlets which are close to the waterline and where the failure of the material in the event of fire would give rise to danger of flooding.
</t>
  </si>
  <si>
    <t>311 312 313 346</t>
  </si>
  <si>
    <t>Closed compartments with urea storage tanks</t>
  </si>
  <si>
    <t>Storage and use of SCR reductants (urea)</t>
  </si>
  <si>
    <t xml:space="preserve">C-1-10-11.9.4.i  For high pressure fuel oil pipes and other components which may be built-in or attached to the engine, see Ch 1, Sec 2, [2.5].
Anyhow, the components of a diesel engine fuel oil system are to be designed considering the maximum peak pressure which will be experienced in service, including any high pressure pulses which are generated and transmitted back into the fuel supply and spill lines by the action of fuel injection pumps.
</t>
  </si>
  <si>
    <t>Progressive  flooding - Definition</t>
  </si>
  <si>
    <t xml:space="preserve">B-3-3-3.3.2  Openings
The openings may be listed in the following categories, depending on their means of closure:
- Unprotected openings may lead to progressive  flooding  if they are situated within the range of the positive righting lever curve or if they are located below the waterline after damage (at any stage of flooding ). Unprotected openings are openings which are not fitted with at least weathertight means of closure, or ventilators that have to remain open to supply air to the engine room or emergency generator room for the effective operation of the ship.
- Openings fitted with weathertight means of closure are not able to sustain a constant head of water, but they can be intermittently immersed within the positive range of stability. Weathertight openings may lead to progressive  flooding  if they are located below the waterline after damage (at any stage of flooding ).
- Internal openings fitted with semi-watertight means of closure are able to sustain a constant head of water corresponding to the immersion relevant to the highest waterline after damage at the equilibrium of the intermediate stages of flooding. Semi-watertight openings may lead to progressive  flooding  if they are located below the final equilibrium waterline after damage.
- Internal openings fitted with watertight means of closure are able to sustain a constant head of water corresponding to the distance between the lowest edge of this opening and the bulkhead/freeboard deck.
Air pipe closing devices complying with Pt C, Ch 1, Sec 10, [9.1.6] may not be considered watertight, unless additional arrangements are fitted in order to demonstrate that such closing devices are effectively watertight.
The pressure/vacuum valves (PV valves) currently installed on tankers do not theoretically provide complete watertightness.
Manhole covers may be considered watertight provided the cover is fitted with bolts located such that the distance between their axes is less than five times the bolt's diameter.
Access hatch covers leading to tanks may be considered watertight.
Watertight openings do not lead to progressive  flooding .
</t>
  </si>
  <si>
    <t>Progressive  flooding - Openings categories</t>
  </si>
  <si>
    <t>Progressive  flooding - Through pipes</t>
  </si>
  <si>
    <t>MSC/Circular.406/Rev.1 - Guidelines 3</t>
  </si>
  <si>
    <t>Progressive  flooding - Principle</t>
  </si>
  <si>
    <t>C-1-10-5.5.1
a. In order to comply with the subdivision and damage stability requirements of Pt B, Ch 3, Sec 3, provision is to be made to prevent any progressive  flooding  of a dry compartment served by any open-ended pipe, in the event that such pipe is damaged or broken in any other compartment by collision or grounding.
b. For this purpose, if pipes are situated within assumed flooded compartments, arrangements are to be made to ensure that progressive  flooding  cannot thereby extend to compartments other than those assumed to be flooded for each case of damage. However, the Society may permit minor progressive  flooding  if it is demonstrated that its effects can be easily controlled and the safety of the ship is not impaired. Refer to Pt B, Ch 3, Sec 3.</t>
  </si>
  <si>
    <t>Progressive  flooding - Extent of damage</t>
  </si>
  <si>
    <t>Progressive  flooding - Piping arrangement</t>
  </si>
  <si>
    <t>Progressive  flooding - Suction and discharge valves below the waterline</t>
  </si>
  <si>
    <t>C-1-10-5.5.2 For the definition of the assumed transverse extent of damage, reference is to be made to Pt B, Ch 3, Sec 3.</t>
  </si>
  <si>
    <t>C-1-10-5.5.3
a. The assumed transverse extent of damage is not to contain any pipe with an open end in a compartment located outside this extent, except where the section of such pipe does not exceed 710 mm2.
Note 1 :   Where several pipes are considered, the limit of 710 mm2 applies to their total section.
b. Where the provisions of item a) cannot be fulfilled, and after special examination by the Society, pipes may be situated within the assumed transverse extent of damage penetration provided that:
- either a closable valve operable from above the bulkhead deck is fitted at each penetration of a watertight subdivision and secured directly on the bulkhead, or
- a closable valve operable from above the bulkhead deck is fitted at each end of the pipe concerned, the valves and their control system being inboard of the assumed extent of damage, or
- the tanks to which the pipe concerned leads are regarded in the damage stability calculations as being flooded when damage occurs in a compartment through which the pipe passes.
c. Valves required to be operable from above the bulkhead deck are to be fitted with an indicator to show whether the valve is open or shut.
Where the valve is remote controlled by other than mechanical means, and where the remote control system is located, even partly, within the assumed extent of damage penetration, this system is to be such that the valve is automatically closed by loss of power.
d. Air and overflow pipes are to be so arranged as to prevent the possibility of flooding of other tanks in other watertight compartments in the event of any one tank being flooded.
This arrangement is to be such that in the range of positive residual righting levers beyond the angle of equilibrium stage of flooding , the progressive  flooding  of tanks or watertight compartments other than that flooded does not occur.</t>
  </si>
  <si>
    <t xml:space="preserve">C-1-10-5.5.4
a. The location of controls of any valve serving a sea inlet, a discharge below the waterline or a bilge injection system is to comply with Pt F, Ch 3, Sec 1, [3.4.3]. 
b. The National Authority of the country in which the ship is to be registered may have different criteria.
</t>
  </si>
  <si>
    <t xml:space="preserve">B-3-3-3.3.3  Progressive  flooding  through pipes may occur when:
- the pipes and connected valves are located within the assumed damage, and no valves are fitted outside the damage
- the pipes, even if located outside the damage, satisfy all of the following conditions:
-- the pipe connects a damaged space to one or more spaces located outside the damage
-- the highest vertical position of the pipe is below the waterline, and
-- no valves are fitted.
The possibility of progressive  flooding  through ballast piping passing through the assumed extent of damage, where positive action valves are not fitted to the ballast system at the open ends of the pipes in the tanks served, is to be considered. Where remote control systems are fitted to ballast valves and these controls pass through the assumed extent of damage, then the effect of damage to the system is to be considered to ensure that the valves would remain closed in that event.
If pipes, ducts or tunnels are situated within assumed flooded compartments, arrangements are to be made to ensure that progressive  flooding  cannot thereby extend to compartments other than those assumed flooded. However, the Society may permit minor progressive  flooding  if it is demonstrated that the additional flooding  of those compartments cannot lead to the capsizing or the sinking of the ship.
Requirements relative to the prevention of progressive  flooding  are specified in Pt C, Ch 1, Sec 10, [5.5].
</t>
  </si>
  <si>
    <t xml:space="preserve">MSC.1/Circular.1321, Annex, Part 3, Chapter 4
2.1 In order to fulfil SOLAS regulation II-2-B-4.2.2.5.5, isolating valves should be located and operable from a position not rendered inaccessible by a fire on any of the engines. 
2.1.1 Where practicable, isolating valves should be located at least 5 m away from engines in any direction. If this is not possible, the operating position of the valves should be protected by an obstruction. Figure 3-8 shows an example of protection by obstructions. 
2.1.2 If the above is impracticable, other means of protection capable of enabling access to the isolating valves in the event of a fire might be acceptable. 
2.1.3 Figure 3-9 shows the possible areas affected by fire and figure 3-10 shows a schematic diagram of a typical isolation valve arrangement. 
2.1.4 Isolating valves controlled remotely could be acceptable. In this case, the operating mechanism should be protected from fire.
</t>
  </si>
  <si>
    <t>Pipe design - Minimum wall thickness for steel pipes</t>
  </si>
  <si>
    <t>C-1-10-2- table 6 note 3 Extra-reinforced wall thickness applies to pipes connected to the shell below the freeboard deck.</t>
  </si>
  <si>
    <t xml:space="preserve">C-1-10-2- table 6 note 4 The minimum wall thickness for bilge lines and ballast lines through deep tanks is to be subject to special consideration by the Society. The ballast lines within oil cargo tanks (where permitted) is to be subject to special consideration by the Society (see Pt D, Ch 7, Sec 4, [2.1.3]). </t>
  </si>
  <si>
    <t xml:space="preserve">C-1-10-2- table 6 note 5 For sounding pipes, except those for flammable cargoes, the minimum wall thickness is intended to apply only to the part outside the tank.
</t>
  </si>
  <si>
    <t xml:space="preserve">C-1-10-2- table 6 note 2 range Reinforced wall thickness applies to pipes passing through tanks containing a fluid distinct from that conveyed by the pipe and to pipe connections fitted to the tanks.
</t>
  </si>
  <si>
    <t xml:space="preserve">C-1-10-2- table 6 note 1 range Attention is drawn to the special requirements regarding:
bilge and ballast systems
scupper and discharge pipes
sounding, air and overflow pipes
ventilation systems
oxyacetylene welding systems
CO2 fire-extinguishing systems (see Ch 4, Sec 14)
cargo lines (see Pt D, Ch 10, Sec 3). The wall thickness is to be subject to special consideration by the Society.
</t>
  </si>
  <si>
    <t>Applicable rules</t>
  </si>
  <si>
    <t>Danish Maritima Authority (DMA)</t>
  </si>
  <si>
    <t>Machinery and electrical installations</t>
  </si>
  <si>
    <t xml:space="preserve">Regulation 7 – 
1. This regulation shall apply only to new vessels.
2. The provisions of Notice F from the Danish Maritime Authority, chapter IV, shall apply; however,
manual bilge pumps may be replaced by mechanically operated ones.
</t>
  </si>
  <si>
    <t>300 311</t>
  </si>
  <si>
    <t xml:space="preserve">Order no. 916, Regulation 7 -Machinery and electrical installations
Notice D II-1 C, Regulation 3 - Bilge pumping arrangement (R21)
</t>
  </si>
  <si>
    <t>DMA-D-II-1-C-3.1.1 An efficient bilge pumping system shall be provided, capable of pumping from and draining any watertight compartment other than a space permanently appropriated for the carriage of fresh water, water ballast, oil fuel or liquid cargo and for which other efficient means of pumping are provided, under all practical conditions. Efficient means shall be provided for draining water from insulated holds.</t>
  </si>
  <si>
    <t>DMA-D-II-1-C-3.1.2 Sanitary, ballast and general service pumps may be accepted as independent power bilge pumps if fitted with the necessary
connections to the bilge pumping system.</t>
  </si>
  <si>
    <t>DMA-D-II-1-C-3.1.4 The arrangement of the bilge and ballast pumping system shall
be such as to prevent the possibility of water passing from the
sea and from water ballast spaces into the cargo and
machinery spaces, or from one compartment to another.
Provision shall be made to prevent any deep tank having bilge
and ballast connections being inadvertently flooded from the
sea when containing cargo, or being discharged through a
bilge pump when containing water ballast.</t>
  </si>
  <si>
    <t>311 346</t>
  </si>
  <si>
    <t>Drainage of enclosed cargo spaces situated on the bulkhead deck</t>
  </si>
  <si>
    <t xml:space="preserve">DMA-D-II-1-C-3.1.6 
.1 Where the freeboard to the bulkhead deck is such that the deck edge is immersed when the ship heels more than 5°, the drainage shall be by means of a sufficient number of scuppers of suitable size discharging directly overboard, fitted in accordance with the requirements of regulation 15.
.2 Where the freeboard is such that the edge of the bulkhead deck is immersed when the ship heels 5° or less, the drainage of the enclosed cargo spaces on the bulkhead deck shall be led to a suitable space, or spaces, of adequate capacity, having high water level alarm and provided with suitable arrangements for discharge overboard. In addition it will be ensured that:
.1 the number, size and disposition of the scuppers are such as to prevent unreasonable accumulation of free water; 
.2 the pumping arrangements required by this regulation take account of the requirements for any fixed pressure water spraying fire-extinguishing system; 
.3 water contaminated with petrol or other dangerous substances is not drained to machinery spaces or other spaces where sources of ignition may be present; and
.4 where the enclosed cargo space is protected by a CO2 fire-extinguishing system the deck scuppers are fitted with means to prevent the escape of the smothering gas.
</t>
  </si>
  <si>
    <t>DMA-D-II-1-C-3.3 The drainage from car decks/ro-ro decks shall be of sufficient capacity that two-thirds of the number of scuppers, wash ports
etc. on the starboard and the port side shall be able to cope with a quantity of water originating from drencher and fire pumps, taking into account the ship’s list and trim fore and aft. A head of water above scuppers and the like in the side of a maximum of 100 mm shall be accepted.
Scuppers in the car deck shall be fitted with a removable grating with “vertical” ribs above the drain capable of preventing large items from fouling the drain. This shall, however, not apply to redundant scuppers.
The grating may be vertical against the ship’s side. The grating shall have a height of at least 1 metre above the deck and shall have a free flow area of at least 0.4 m2; the distance between the individual bars in the grating may not be more than 25 mm.</t>
  </si>
  <si>
    <t>DMA-D-II-1-C-3.2.1 The bilge pumping system required by paragraph .1.1 shall be capable of operation under all practicable conditions after a casualty whether the ship is upright or listed. For this purpose wing suctions shall generally be fitted except in narrow compartments at the end of the ship where one suction may be sufficient. In compartments of unusual form, additional suctions may be required. Arrangements shall be made whereby water in the compartment may find its way to the suction pipes.</t>
  </si>
  <si>
    <t xml:space="preserve">DMA-D-II-1-C-3.2.2 Where practicable, the power bilge pumps shall be placed in separate watertight compartments and so arranged or situated that these compartments will not be flooded by the same damage. If the main propulsion machinery, auxiliary machinery and boilers are in two or more watertight compartments, the pumps available for bilge service shall be distributed as far as is possible throughout these compartments.
</t>
  </si>
  <si>
    <t xml:space="preserve">DMA-D-II-1-C-3.2.3 With the exception of additional pumps which may be provided for peak compartments only, each required bilge pump shall be so arranged as to draw water from any space required to be drained by paragraph .1.1.
</t>
  </si>
  <si>
    <t xml:space="preserve">DMA-D-II-1-C-3.2.4 Independent power bilge pumps situated in machinery spaces shall have direct suctions from these spaces, except that not more than two such suctions shall be required in any one space. Where two or more such suctions are provided there shall be at least one on each side of the ship. Direct suctions shall be suitably arranged and those in a machinery space shall be of a diameter not less than that required for the bilge main.
</t>
  </si>
  <si>
    <t>DMA-D-II-1-C-3.2.4 Each power bilge pump shall be capable of pumping water through the required main bilge pipe at a speed of not less than 2 m/sec.</t>
  </si>
  <si>
    <t>DMA-D-II-1-C-3.2.5 In addition to the direct bilge suction or suctions required by paragraph .2.4 a direct emergency bilge suction fitted with a non-return valve shall be led from the largest available independent power driven pump to the drainage level of the machinery space; the suction shall be of the same diameter as the main inlet to the pumps used.</t>
  </si>
  <si>
    <t>DMA-D-II-1-C-3.2.6 The spindles of the sea inlet and direct suction valves shall extend well above the engine-room platform.</t>
  </si>
  <si>
    <t>DMA-D-II-1-C-3.2.7 All bilge suction piping up to the connection to the pumps shall be independent of other piping.</t>
  </si>
  <si>
    <t>DMA-D-II-1-C-3.2.8 The diameter “d” of the main and branch bilge suction pipes shall be calculated according to the following formulae. However, the actual internal diameter may be rounded off to the nearest standard size acceptable to the Administration of the flag State:
main bilge suction pipe:
d = 25 +1.68 √ (L (B + D))
branch bilge suction pipes between collecting boxes and suctions:
D = 25 + 2.15 √ L1 (B+ D)
where:
d is the internal diameter of the bilge main (millimetres),
L and B are the length and the breadth of the ship (metres),
L1 is the length of the compartment, and
D is the moulded depth of the ship to bulkhead deck (metres) provided that, in a ship having an enclosed cargo space on the bulkhead deck which is internally drained in accordance with the requirements of paragraph 1.6.2 and which extends for the full length of the ship, D shall be measured to the next deck above the bulkhead deck. Where the enclosed cargo spaces cover a lesser length, D shall be taken as the moulded depth to the bulkhead deck plus Ih/L where I and h are the aggregate length and height respectively of the enclosed cargo spaces.</t>
  </si>
  <si>
    <t xml:space="preserve">D-11-4-1.5.1  Provision shall be made to prevent the compartment served by any bilge suction pipe being flooded in the event of the pipe being severed or otherwise damaged by collision or grounding in any other compartment. For this purpose, where the pipe is at any part situated nearer the side of the ship than B/5 (one fifth of the breadth of the ship, measured at right angles to the centreline at the level of the deepest subdivision load line), or is in a duct keel, a non-return valve shall be fitted to the pipe in the compartment containing the open end.
</t>
  </si>
  <si>
    <t>DMA-D-II-1-C-3.2.9 Provision shall be made to prevent the compartment served by any bilge suction pipe being flooded in the event of the pipe being severed or otherwise damaged by collision or grounding in any other compartment. For this purpose, where the pipe is at any part situated nearer the side of the ship than one fifth of the breadth of the ship (measured at right angles to the centreline at the level of the deepest subdivision load line), or is in a duct keel, a non-return valve shall be fitted to the pipe in the compartment containing the open end.</t>
  </si>
  <si>
    <t>DMA-D-II-1-C-3.2.10 Distribution boxes, cocks and valves in connection with the bilge pumping system shall be so arranged that, in the event of flooding, one of the bilge pumps may be operative on any compartment; in addition, damage to a pump or its pipe connecting to the bilge main outboard of a line drawn at one fifth of the breadth of the ship shall not put the bilge system out of action. If there is only one system of pipes common to all the pumps, the necessary valves for controlling the bilge suctions must be capable of being operated from above the bulkhead deck. Where in addition to the main bilge pumping system an emergency bilge pumping system is provided, it shall be independent of the main system and so arranged that a pump is capable of operating on any compartment under
flooding condition as specified in paragraph .2.1; in the case only the valves necessary for the operation of the emergency system need be capable of being operated from above the bulkhead deck.</t>
  </si>
  <si>
    <t>DMA-D-II-1-C-3.2.10 All cocks and valves referred to in paragraph .2.10 which can be operated from above the bulkhead deck shall have their controls at their place of operation clearly marked and shall be provided with means to indicate whether they are open or closed.</t>
  </si>
  <si>
    <t xml:space="preserve">C-1-10-6.7.1  For cargo ships, at least two power pumps connected to the main bilge system are to be provided, one of which may be driven by the propulsion machinery.
Additional requirements for passenger ships are given in Part D.
Each pump may be replaced by a group of pumps connected to the bilge main, provided their total capacity meets the requirements specified in [6.7.4].
Alternative arrangements, such as the use of a hand pump in lieu of a power pump, will be given special consideration by the Society.
</t>
  </si>
  <si>
    <t>DMA-D-II-1-C-4
Up to 250 passengers: one main engine pump and one independent power pump, located and powered outside the engine room.
Over 250 passengers: one main engine pump and two independent power pumps, one of which has to be located and powered outside the
engine room.
The main engine pump may be replaced by one independent power
pump. The drainage of very small compartments may be dealt with
movable hand pumps.</t>
  </si>
  <si>
    <t xml:space="preserve">DMA-D-II-1-C-3.1.3 All bilge pipes used in or under fuel storage tanks or in boiler or machinery spaces, including spaces in which oil-settling
tanks or oil fuel pumping units are situated, shall be of steel or
other suitable material.
</t>
  </si>
  <si>
    <t>DMA-D-II-1-C-3.1.5 All distribution boxes and manually operated valves in connection with the bilge pumping arrangements shall be in
positions which are accessible under ordinary circumstances.</t>
  </si>
  <si>
    <t>343 345 346</t>
  </si>
  <si>
    <t xml:space="preserve">C-1-10-8.1.1   This Article applies to:
a. scuppers and sanitary discharge systems, and
discharges from sewage tanks.
b. Discharges in connection with machinery operation are dealt with in [2.8].
Note 1 :   Arrangements not in compliance with the provisions of this Article may be considered for the following ships:
- ships of less than 24 m in length
- cargo ships of less than 500 tons gross tonnage
- ships to be assigned restricted navigation notations
- non-propelled units.
</t>
  </si>
  <si>
    <t/>
  </si>
  <si>
    <t>341 351</t>
  </si>
  <si>
    <t>Hydrostatic tests class I and II pipes</t>
  </si>
  <si>
    <t>C-1-10-20-4.3.a  Valves and fittings non-integral with the piping system and intended for class I and II pipes are to be subjected to hydrostatic tests in accordance with standards recognised by the Society, at a pressure not less than 1,5 times the design pressure P defined in [1.3.2].</t>
  </si>
  <si>
    <t xml:space="preserve">C-1-10-20-4.3.b  Valves and distance pieces intended to be fitted on the ship side below the load waterline are to be subjected to hydrostatic tests under a pressure not less than 0,5 MPa.
</t>
  </si>
  <si>
    <t>Hydrostatic tests valves and pipes fitted on hull below the load waterline</t>
  </si>
  <si>
    <t>31x 33x 34x</t>
  </si>
  <si>
    <t>Hydrostatic tests heaters, coolers, heat exchangers and nests of tubes or coils they serve</t>
  </si>
  <si>
    <t xml:space="preserve">C-1-10-20-4.3
c.  The shells of appliances such as heaters, coolers and heat exchangers which may be considered as pressure vessels are to be tested under the conditions specified in Ch 1, Sec 3.
d.  The nests of tubes or coils of heaters, coolers and heat exchangers are to be submitted to a hydraulic test under the same pressure as the fluid lines they serve.
e.  For coolers of internal combustion engines, see Ch 1, Sec 2.
</t>
  </si>
  <si>
    <t xml:space="preserve">B-8-10-9.1.5  In order to satisfactorily ensure, in all weather conditions:
 - the continuous ventilation of machinery spaces,
 - and, when necessary, the immediate ventilation of the emergency generator room,
the ventilators serving such spaces are to comply with [9.1.2], i.e. their openings are to be so located that they do not require closing appliances.
Note 1 :   See also Pt C, Ch 4, Sec 2, [2.1] regarding closing appliances for ventilation systems.
</t>
  </si>
  <si>
    <t xml:space="preserve">B-8-10-9.1.6  Where, due to the ship's size and arrangement, the requirements in [9.1.5] are not practicable, lesser heights may be accepted for machinery space and emergency generator room ventilator coamings fitted with weathertight closing appliances in accordance with [9.1.1], [9.1.3] and [9.1.4] in combination with other suitable arrangements, such as separators fitted with drains, to ensure an uninterrupted, adequate supply of ventilation to these spaces.
</t>
  </si>
  <si>
    <t>Battery room - mechanical exhaust ventilation</t>
  </si>
  <si>
    <t xml:space="preserve">C-2-11-6.5.8 For natural ventilation systems for deck boxes:
a. holes for air inlet are to be provided on at least two opposite sides of the box
b. the exhaust duct is to be of ample dimensions
c. the duct is to terminate at least 1,25 m above the box in a goose-neck or mushroom-head or the equivalent
d. the degree of protection is to be in accordance with  Ch 2, Sec 3, Tab 2.
</t>
  </si>
  <si>
    <t>Battery room - natural ventilation systems</t>
  </si>
  <si>
    <t xml:space="preserve">F-11-11-2.2.3  Arrangements are to be made to avoid ice accretion on the fresh air intake components (ventilators, louvers, casings, scuppers, etc.), in particular on those serving the machinery spaces, emergency generating set room and HVAC rooms. This may be accomplished by means of closed-circuit ventilation sequences or by electric or steam tracing of the said components.
</t>
  </si>
  <si>
    <t>__</t>
  </si>
  <si>
    <t>SHELTERED AREA</t>
  </si>
  <si>
    <t>Classification Society</t>
  </si>
  <si>
    <t>Pipe class</t>
  </si>
  <si>
    <t xml:space="preserve">C-1-10-1 table 3, remark 5 Steering gear hydraulic piping system belongs to class I irrespective of p and T.
</t>
  </si>
  <si>
    <t xml:space="preserve"> Penetrations in A class divisions</t>
  </si>
  <si>
    <t xml:space="preserve">C-4-5-2.1.1 
Where A class divisions are penetrated, such penetration shall be tested in accordance with the Fire Test Procedures Code. In the case of ventilation ducts, requirements [6.2.2] and [6.4.1] apply. However, where a pipe penetration is made of steel or equivalent material having a thickness of 3 mm or greater and a length of not less than 900 mm (preferably 450 mm on each side of the division), and there are no openings, testing is not required. Such penetrations shall be suitably insulated by extension of the insulation at the same level of the division.
</t>
  </si>
  <si>
    <t xml:space="preserve">Penetrations in B class divisions </t>
  </si>
  <si>
    <t xml:space="preserve">C-4-5-2.2.1 
Where B class divisions are penetrated for the passage of electric cables, pipes, trunks, ducts, etc., of for the fitting of ventilation terminals, lighting fixtures and similar devices, arrangements shall be made to ensure that the fire resistance is not impaired, subject to the provisions of paragraph [6.4.2]. Pipes other that steel or copper that penetrate B class divisions shall be protected by either:
a fire-tested penetration device suitable for the fire resistance of the division pierced and the type of pipe used, or
a steel sleeve, having a thickness of not less than 1,8 mm and a length of not less than 900 mm for pipe diameters of 150 mm or more and not less than 600 mm for pipe diameters of less than 150 mm (preferably equally divided to each side of the division). The pipe shall be connected to the ends of the sleeve by flanges or couplings; or the clearance between the sleeve and the pipe shall not exceed 2,5 mm; or any clearance between pipe and sleeve shall be made tight by means of non-combustible or other suitable material.
</t>
  </si>
  <si>
    <t>Pipes penetrating A or B class divisions</t>
  </si>
  <si>
    <t>2.3.1 
Uninsulated metallic pipes penetrating A or B class divisions shall be of materials having a melting temperature which exceeds 950°C for A-0 and 850°C for B-0 class divisions.</t>
  </si>
  <si>
    <t>2.3.2 
Where the Society may permit the conveying of oil and combustible liquids through accommodation and service spaces, the pipes conveying oil or combustible liquids shall be of a material approved by the Society having regard to the fire risk.</t>
  </si>
  <si>
    <t>Prevention of heat transmission</t>
  </si>
  <si>
    <t xml:space="preserve">C-4-5-2.4.1 
In approving structural fire protection details, the Administration shall have regard to the risk of heat transmission at intersections and terminal points of required thermal barriers. The insulation of a deck or bulkhead shall be carried past the penetration, intersection or terminal point for a distance of at least 450 mm in the case of steel and aluminium structures. If a space is divided with a deck or a bulkhead of A class standard having insulation of different values, the insulation with the higher value shall continue on the deck or bulkhead with the insulation of the lesser value for a distance of at least 450 mm.
</t>
  </si>
  <si>
    <t>C-4-5-6.3.4 As permitted by [6.3.2] and [6.3.3] ducts shall be either:
a. 
1. constructed of steel having a thickness of at least 3 mm for ducts with a free cross-sectional area of less than 0.075 m2, at least 4 mm for ducts with a free cross-sectional area of between 0.075 m2 and 0.45 m2, and at least 5 mm for ducts with a free cross-sectional area of over 0.45 m2;
2. suitably supported and stiffened;
3. fitted with automatic fire dampers close to the boundaries penetrated; and
4. insulated to "A-60" class standard from the boundaries of the spaces they serve to a point at least 5 m beyond each fire damper; or
b.
1. constructed of steel in accordance with item a) 1) and item a) 2); and
2. insulated to "A-60" class standard throughout the spaces they pass through, except for ducts that pass through spaces of category (9) or (10) as defined in [1.3.3], item b).</t>
  </si>
  <si>
    <t xml:space="preserve">C-4-5-6.3.5 For the purposes of [6.3.4], item a) 4) and [6.3.4], item b) 2), ducts shall be insulated over their entire cross-sectional external surface. Ducts that are outside but adjacent to the specified space, and share one or more surfaces with it, shall be considered to pass through the specified space, and shall be insulated over the surface they share with the space for a distance of 450 mm past the duct.
</t>
  </si>
  <si>
    <t xml:space="preserve">C-4-5-6.3.3 Ducts provided for the ventilation of accommodation spaces, service spaces or control stations shall not pass through machinery spaces of category A, galleys, vehicle spaces, ro-ro spaces or special category spaces unless they comply with [6.3.4].
</t>
  </si>
  <si>
    <t xml:space="preserve">C-4-5-6.3.2 Ducts provided for the ventilation of machinery spaces of category A, galleys, vehicle spaces, ro-ro spaces or special category spaces shall not pass through accommodation spaces, service spaces, or control stations unless they comply with [6.3.4].
</t>
  </si>
  <si>
    <t xml:space="preserve">C-4-5-6.3.1 The ventilation systems for machinery spaces of category A, vehicle spaces, ro-ro spaces, galleys, special category spaces and cargo spaces shall, in general, be separated from each other and from the ventilation systems serving other spaces. However, the galley ventilation systems on cargo ships of less than 4,000 gross tonnage and in passenger ships carrying not more than 36 passengers need not be completely separated from other ventilation systems, but may be served by separate ducts from a ventilation unit serving other spaces. In such a case, an automatic fire damper shall be fitted in the galley ventilation duct near the ventilation unit.
</t>
  </si>
  <si>
    <t>Arrangement of ducts</t>
  </si>
  <si>
    <t>Containment of fire</t>
  </si>
  <si>
    <t xml:space="preserve">C-4-5-6.2.2 The following arrangements shall be tested in accordance with the Fire Test Procedures Code:
fire dampers, including their relevant means of operation, however, the testing is not required for dampers located at the lower end of the duct in exhaust ducts for galley ranges, which must be of steel and capable of stopping the draught in the duct; and
duct penetrations through "A" class divisions. However, the test is not required where steel sleeves are directly joined to ventilation ducts by means of riveted or screwed connections or by welding.
</t>
  </si>
  <si>
    <t xml:space="preserve">C-4-5-6.2.4 Ventilation ducts shall be provided with hatches for inspection and cleaning. The hatches shall be located near the fire dampers.
</t>
  </si>
  <si>
    <t>C-4-5-6.2.5 The main inlets and outlets of ventilation systems shall be capable of being closed from outside the spaces being ventilated. The means of closing shall be easily accessible as well as prominently and permanently marked and shall indicate the operating position of the closing device.</t>
  </si>
  <si>
    <t xml:space="preserve">C-4-5-6.2.6 Combustible gaskets in flanged ventilation duct connections are not permitted within 600 mm of openings in "A" or "B" class divisions and in ducts required to be of "A" class construction.
</t>
  </si>
  <si>
    <t xml:space="preserve">C-4-5-6.2.7 Ventilation openings or air balance ducts between two enclosed spaces shall not be provided except as permitted by [3.2.2] and [3.3.3].
</t>
  </si>
  <si>
    <t xml:space="preserve">C-4-5-6.2.1 Ventilation ducts, including single and double wall ducts, shall be of steel or equivalent material except flexible bellows of short length not exceeding 600 mm used for connecting fans to the ducting in air-conditioning rooms. Unless expressly provided otherwise in [6.2.6], any other material used in the construction of ducts, including insulation, shall also be non-combustible. However, short ducts, not generally exceeding 2 m in length and with a free cross-sectional area not exceeding 0.02 m2, need not be of steel or equivalent material, subject to the following conditions:
the ducts shall be made of non-combustible material, which may be faced internally and externally with membranes having low flame-spread characteristics and, in each case, a calorific value not exceeding 45 MJ/m2 of their surface area for the thickness used;
the ducts are only used at the end of the ventilation device; and
the ducts are not situated less than 600 mm, measured along the duct, from an opening in an "A" or "B" class division, including continuous "B" class ceiling.
Note 1 :   The term free cross-sectional area means, even in the case of a pre-insulated duct, the area calculated on the basis of the inner dimensions of the duct itself and not the insulation.
</t>
  </si>
  <si>
    <t xml:space="preserve">C-4-5-6.2.3 Fire dampers shall be easily accessible. Where they are placed behind ceilings or linings, these ceilings or linings shall be provided with an inspection hatch on which the identification number of the fire damper is marked. The fire damper identification number shall also be marked on any remote controls provided.
</t>
  </si>
  <si>
    <t xml:space="preserve">C-4-5-6.3.6 Where it is necessary that a ventilation duct passes through a main vertical zone division, an automatic fire damper shall be fitted adjacent to the division. The damper shall also be capable of being manually closed from each side of the division. The control location shall be readily accessible and be clearly and prominently marked. The duct between the division and the damper shall be constructed of steel in accordance with [6.3.4], item a) 1) and [6.3.4], item a) 2) and insulated to at least the same fire integrity as the division penetrated. The damper shall be fitted on at least one side of the division with a visible indicator showing the operating position of the damper.
</t>
  </si>
  <si>
    <t>Details of fire dampers and duct penetrations</t>
  </si>
  <si>
    <t xml:space="preserve">C-4-5-6.4.1 Ducts passing through "A" class divisions shall meet the following requirements:
a. where a thin plated duct with a free cross sectional area equal to, or less than, 0.02 m2 passes through "A" class divisions, the opening shall be fitted with a steel sheet sleeve having a thickness of at least 3 mm and a length of at least 200 mm, divided preferably into 100 mm on each side of a bulkhead or, in the case of a deck, wholly laid on the lower side of the decks penetrated;
b. where ventilation ducts with a free cross-sectional area exceeding 0.02 m2, but not more than 0.075 m2, pass through "A" class divisions, the openings shall be lined with steel sheet sleeves. The ducts and sleeves shall have a thickness of at least 3 mm and a length of at least 900 mm. When passing through bulkheads, this length shall be divided preferably into 450 mm on each side of the bulkhead. These ducts, or sleeves lining such ducts, shall be provided with fire insulation. The insulation shall have at least the same fire integrity as the division through which the duct passes
Equivalent penetration protection may be provided to the satisfaction of the Society, and
c. automatic fire dampers shall be fitted in all ducts with a free cross-sectional area exceeding 0.075 m2 that pass through "A" class divisions. Each damper shall be fitted close to the division penetrated and the duct between the damper and the division penetrated shall be constructed of steel in accordance with [6.3.4], item b) 1) and [6.3.4], item b) 2). The fire damper shall operate automatically, but shall also be capable of being closed manually from both sides of the division. The damper shall be fitted with a visible indicator which shows the operating position of the damper. Fire dampers are not required, however, where ducts pass through spaces surrounded by "A" class divisions, without serving those spaces, provided those ducts have the same fire integrity as the divisions which they penetrate. A duct of cross-sectional area exceeding 0.075 m2 shall not be divided into smaller ducts at the penetration of an "A" class division and then recombined into the original duct once through the division to avoid installing the damper required by this provision.
</t>
  </si>
  <si>
    <t xml:space="preserve">C-4-5-6.4.2 Ventilation ducts with a free cross-sectional area exceeding 0.02 m2 passing through "B" class bulkheads shall be lined with steel sheet sleeves of 900 mm in length, divided preferably into 450 mm on each side of the bulkheads unless the duct is of steel for this length.
</t>
  </si>
  <si>
    <t xml:space="preserve">C-4-5-6.4.3 
All fire dampers shall be capable of manual operation. The dampers shall have a direct mechanical means of release or, alternatively, be closed by electrical, hydraulic, or pneumatic operation. All dampers shall be manually operable from both sides of the division. Automatic fire dampers, including those capable of remote operation, shall have a failsafe mechanism that will close the damper in a fire even upon loss of electrical power or hydraulic or pneumatic pressure loss. Remotely operated fire dampers shall be capable of being reopened manually at the damper.
</t>
  </si>
  <si>
    <t>Ventilation systems for passenger ships carrying more than 36 passengers</t>
  </si>
  <si>
    <t xml:space="preserve">C-4-5-6.5.1 In addition to the requirements in [6.2], [6.3] and [6.4], the ventilation system of a passenger ship carrying more than 36 passengers shall also meet the following requirements.
</t>
  </si>
  <si>
    <t xml:space="preserve">C-4-5-6.5.2 In general, the ventilation fans shall be so arranged that the ducts reaching the various spaces remain within a main vertical zone.
</t>
  </si>
  <si>
    <t xml:space="preserve">C-4-5-6.5.3 Stairway enclosures shall be served by an independent ventilation fan and duct system (exhaust and supply) which shall not serve any other spaces in the ventilation systems.
</t>
  </si>
  <si>
    <t xml:space="preserve">C-4-5-6.5.4  A duct, irrespective of its cross-section, serving more than one 'tween-deck accommodation space, service space or control station, shall be fitted, near the penetration of each deck of such spaces, with an automatic smoke damper that shall also be capable of being closed manually from the protected deck above the damper. Where a fan serves more than one 'tween-deck space through separate ducts within a main vertical zone, each dedicated to a single 'tween-deck space, each duct shall be provided with a manually operated smoke damper fitted close to the fan.
</t>
  </si>
  <si>
    <t xml:space="preserve">C-4-5-6.5.5 Vertical ducts shall, if necessary, be insulated as required by  Tab 1 and  Tab 2. Ducts shall be insulated as required for decks between the space they serve and the space being considered, as applicable.
</t>
  </si>
  <si>
    <t>Exhaust ducts from galley ranges</t>
  </si>
  <si>
    <t xml:space="preserve">C-4-5-6.6.1  Requirements for passenger ships carrying more than 36 passengers
a. In addition to the requirements in [6.2], [6.3] and [6.4], exhaust ducts from galley ranges shall be constructed in accordance with [6.3.4], item b) 1) and [6.3.4], item b) 2) and insulated to "A-60" class standard throughout accommodation spaces, service spaces, or control stations they pass through. They shall also be fitted with:
1. a grease trap readily removable for cleaning unless an alternative approved grease removal system is fitted;
2. a fire damper located in the lower end of the duct at the junction between the duct and the galley range hood which is automatically and remotely operated and, in addition, a remotely operated fire damper located in the upper end of the duct close to the outlet of the duct;
3. a fixed means for extinguishing a fire within the duct;
4. remote-control arrangements for shutting off the exhaust fans and supply fans, for operating the fire dampers mentioned in item a) 2) and for operating the fire-extinguishing system, which shall be placed in a position outside the galley close to the entrance to the galley. Where a multi-branch system is installed, a remote means located with the above controls shall be provided to close all branches exhausting through the same main duct before an extinguishing medium is released into the system; and
5. suitably located hatches for inspection and cleaning, including one provided close to the exhaust fan and one fitted in the lower end where grease accumulates.
The requirements given in item a) 1) to item a) 5) apply to all exhaust ducts from galley ranges in which grease or fat is likely to accumulate from galley ranges.
b. Exhaust ducts from ranges for cooking equipment installed on open decks shall conform to item a), as applicable, when passing through accommodation spaces or spaces containing combustible materials.
</t>
  </si>
  <si>
    <t xml:space="preserve">C-4-5-6.6.2  Requirements for cargo ships and passenger ships carrying not more than 36 passengers
When passing through accommodation spaces or spaces containing combustible materials, the exhaust ducts from galley ranges shall be constructed in accordance with [6.3.4], item a) 1) and [6.3.4], item a) 2). Each exhaust duct shall be fitted with:
a. a grease trap readily removable for cleaning;
b. an automatically and remotely operated fire damper located in the lower end of the duct at the junction between the duct and the galley range hood and, in addition, a remotely operated fire damper in the upper end of the duct close to the outlet of the duct;
c. arrangements, operable from within the galley, for shutting off the exhaust and supply fans; and
d. fixed means for extinguishing a fire within the duct.
</t>
  </si>
  <si>
    <t>Ventilation rooms serving machinery spaces of category A containing internal combustion machinery</t>
  </si>
  <si>
    <t xml:space="preserve">C-4-5-6.7.1 Where a ventilation room serves only such an adjacent machinery space and there is no fire division between the ventilation room and the machinery space, the means for closing the ventilation duct or ducts serving the machinery space shall be located outside of the ventilation room and machinery space.
</t>
  </si>
  <si>
    <t xml:space="preserve">C-4-5-6.7.2 Where a ventilation room serves such a machinery space as well as other spaces and is separated from the machinery space by a "A-0" class division, including penetrations, the means for closing the ventilation duct or ducts for the machinery space can be located in the ventilation room.
</t>
  </si>
  <si>
    <t>Ventilation systems for laundries in passenger ships carrying more than 36 passengers</t>
  </si>
  <si>
    <t xml:space="preserve">C-4-5-6.8.1 Exhaust ducts from laundries and drying rooms of category (13) spaces as defined in [1.3.3], item b) shall be fitted with:
a. filters readily removable for cleaning purposes;
b. a fire damper located in the lower end of the duct which is automatically and remotely operated;
c. remote-control arrangements for shutting off the exhaust fans and supply fans from within the space and for operating the fire damper mentioned in item b); and
d. suitably located hatches for inspection and cleaning.
</t>
  </si>
  <si>
    <t>C-2-11-6.5.5 Adequate air inlets (whether connected to ducts or not) are to be provided near the floor of battery rooms or the bottom of lockers or boxes (except for that of small batteries). Air inlet may be from the open air or from another space (for example from machinery spaces).</t>
  </si>
  <si>
    <t xml:space="preserve">C-1-10-18.5.4.d.4 If a urea storage tank is installed in a closed compartment, the area is to be served by an effective mechanical supply and exhaust ventilation system providing not less than 6 air changes per hour which is independent from the ventilation system of accommodation, service spaces, or control stations. The ventilation system is to be capable of being controlled from outside the compartment and is to be maintained in operation continuously except when the storage tank is empty and has been thoroughly air purged. If the ventilation stops, an audible and visual alarm shall be provided outside the compartment adjacent to each point of entry and inside the compartment, together with a warning notice requiring the use of such ventilation.
Alternatively, where a urea storage tank is located within an engine room a separate ventilation system is not required when the general ventilation system for the space is arranged so as to provide an effective movement of air in the vicinity of the storage tank and is to be maintained in operation continuously except when the storage tank is empty and has been thoroughly air purged.
</t>
  </si>
  <si>
    <t xml:space="preserve">C-1-1-3.6.1 Machinery spaces are to be sufficiently ventilated so as to ensure that when machinery or boilers therein are operating at full power in all weather conditions, including heavy weather, a sufficient supply of air is maintained to the spaces for the operation of the machinery.
This sufficient amount of air is to be supplied through suitably protected openings arranged in such a way that they can be used in all weather conditions.
Special attention is to be paid both to air delivery and extraction and to air distribution in the various spaces. The quantity and distribution of air are to be such as to satisfy machinery requirements for developing maximum continuous power.
The ventilation is to be so arranged as to prevent any accumulation of flammable gases or vapours.
</t>
  </si>
  <si>
    <t>Hull connections</t>
  </si>
  <si>
    <t>II-1-B-2-15-7 The number of scuppers, sanitary discharges and other similar openings in the shell plating shall be reduced to the minimum either by making each discharge serve for as many as possible of the sanitary and other pipes, or in any other satisfactory manner.</t>
  </si>
  <si>
    <t>II-1-B-2-15-</t>
  </si>
  <si>
    <t>II-1-B-2-15-8.1 All inlets and discharges in the shell plating shall be fitted with efficient and accessible arrangements for preventing the accidental admission of water into the ship.</t>
  </si>
  <si>
    <t>II-1-B-2-15-8.2.1 Subject to the requirements of the International Convention on Load Lines in force, and except as provided in paragraph 8.3, each separate discharge led through the shell plating from spaces below the bulkhead deck of passenger ships and the freeboard deck of cargo ships shall be provided with either one automatic non-return valve fitted with a positive means of closing it from above the bulkhead deck or with two automatic non-return valves without positive means of closing, provided that the inboard valve is situated above the deepest subdivision draught and is always accessible for examination under service conditions. Where a valve with positive means of closing is fitted, the operating position above the bulkhead deck shall always be readily accessible and means shall be provided for indicating whether the valve is open or closed.</t>
  </si>
  <si>
    <t>102 343</t>
  </si>
  <si>
    <t>II-1-B-2-15-8.3 Machinery space, main and auxiliary sea inlets and discharges in connection with the operation of machinery shall be fitted with readily accessible valves between the pipes and the shell plating or between the pipes and fabricated boxes attached to the shell plating. In manned machinery spaces the valves may be controlled locally and shall be provided with indicators showing whether they are open or closed.</t>
  </si>
  <si>
    <t>102 331</t>
  </si>
  <si>
    <t>Number openings in the shell plating</t>
  </si>
  <si>
    <t>Preventing admission of water into the ship</t>
  </si>
  <si>
    <t>Provision of non-return valves to discharges led through the shell</t>
  </si>
  <si>
    <t>Sea inlets and discharges in connection with the operation of machinery</t>
  </si>
  <si>
    <t>Lloyd's Rules and Regulations for the Classification of Special Service Craft</t>
  </si>
  <si>
    <t>Material of air pipes</t>
  </si>
  <si>
    <t>15-2-11.1.3 Air pipes are to be made of steel or other approved material. For use of aluminium alloy and plastic pipes of approved type, see Pt 15, Ch 1 Piping Design Requirements.</t>
  </si>
  <si>
    <t>15-2-11.1.4 Air pipes to fuel oil tanks serving emergency generators may not be led through Category ‘A’ machinery spaces.
15-2-11.1.5 For a normally inaccessible small void compartment such as an echo sounding compartment, which is accessed from within a normally inaccessible space such as a forepeak tank, alternative air pipe arrangements to those required by 11.1.1 may be considered. For such arrangements, a warning notice is to be located in a prominent position specifying the precautions to be taken prior to opening the manhole and entering the small void compartment. Ventilation arrangements are to be submitted to LR for approval.</t>
  </si>
  <si>
    <t>Routing</t>
  </si>
  <si>
    <t>Termination of air pipes</t>
  </si>
  <si>
    <t>15-2-11.2.1 Air pipes to double bottom tanks, deep tanks extending to the shell plating, or tanks which can be run up from the sea are to be led to above the watertight deck. Air pipes to fuel oil tanks, cofferdams and all tanks which can be pumped up are to be led to the open.
15-2-11.2.2 Air pipes from storage tanks containing lubricating or hydraulic oil may terminate in the machinery space, provided that the open ends are so situated that issuing oil cannot come into contact with electrical equipment or heated surfaces.
15-2-11.2.3 The open ends of air pipes to fuel oil tanks are to be situated where no danger will be incurred from issuing oil vapour when the tank is being filled.
15-2-11.2.4 The location and arrangement of air pipes for fuel oil service, settling and lubricating oil tanks are to be such that in the event of a broken vent pipe, this does not directly lead to the risk of ingress of sea-water or rainwater.</t>
  </si>
  <si>
    <t>15-2-11.6.2 In all cases, whether a tank is filled by on-board pumps or other means, the total cross-sectional area of the pipes is to be not less than 25 per cent greater than the effective area of the respective filling pipe.</t>
  </si>
  <si>
    <t>15-3-3.17.1 In a yacht in which fuel oil is used, the arrangements for the storage, distribution and utilisation of the fuel oil are to be such as to ensure the safety of the yacht and persons on board. For details, see Pt 15, Ch 3 Machinery Piping Systems.</t>
  </si>
  <si>
    <t>15-3-3.17.2 As far as practicable, fuel oil tanks are to be part of the yacht's structure and are to be located outside Category ‘A' machinery spaces. 
15-3-3.17.3 Where fuel oil tanks, other than double bottom tanks, are necessarily located adjacent to or within Category ‘A' machinery spaces, at least one of their vertical sides is to be contiguous to the machinery space boundaries, and is preferably to have a common boundary with the double bottom tanks, and the area of the tank boundary common with the machinery spaces is to be kept to a minimum. Where the vertical boundary of a tank directly exposed to a machinery space meets the yacht's side plating at an acute angle, a small horizontal surface at the base of the tank, necessary to accommodate practical constructional considerations may be permitted. If the arrangement of the machinery is such that a tank with a large horizontal surface at the base is necessary then a cofferdam with suitable ventilation arrangements, to protect the base of the tank from the effect of a machinery space fire, will be specially considered. See also Pt 15, Ch 3 Machinery Piping Systems. Fuel oil tanks situated within the boundaries of Category ‘A' machinery spaces are not to contain fuel oil having a flashpoint of less than 60°C. The use of free-standing fuel oil tanks is prohibited.</t>
  </si>
  <si>
    <t xml:space="preserve">C-1-10-2.4.2
a. Welded metallic joints
Welded joints are to be used in accordance with  Tab 15. Welding and non destructive testing of welds are to be carried out in accordance with [3]. 
b. Butt-welded joints are to be of full penetration type, with or without special provision for a high quality of root side.
The expression "special provision for a high quality of root side" means that butt welds were accomplished as double welded or by use of a backing ring or inert gas back-up on first pass, or other similar methods accepted by the Society.
c. Slip-on sleeve and socket welded joints are to have sleeves, sockets and weldments of adequate dimensions in compliance with a standard recognised by the Society.
</t>
  </si>
  <si>
    <t>303</t>
  </si>
  <si>
    <t>Inspection of welded joints</t>
  </si>
  <si>
    <t>C-1-10-3.6.2 Welded joints, including the inside wherever possible, are to be visually examined.</t>
  </si>
  <si>
    <t>Visual examination</t>
  </si>
  <si>
    <t>C-1-10-3.6.3 Non-destructive tests required are given in:
• Tab 23 for class I pipes
• Tab 24 for class II pipes.</t>
  </si>
  <si>
    <t>Non-destructive examinations</t>
  </si>
  <si>
    <t>C-1-10-3.6.4 
a) Joints for which non-destructive examinations reveal unacceptable defects are to be re-welded and subsequently to undergo 
a new non-destructive examination. The Surveyor may require that the number of joints to be subjected to non-destructive 
examination is larger than that resulting from the provisions of [3.6.3].
b) Acceptance criteria and repairs
• Indications evaluated to be crack, lack of fusion or lack of penetration for class I pipes are not acceptable. Indications 
evaluated to be crack or lack of fusion in welds for class II pipes are not acceptable. Other types of imperfection are to 
be assessed in accordance with a recognised standard accepted by the Society.
• Unacceptable indications are to be eliminated and repaired where necessary. The repair welds are to be examined on 
their full length using magnetic particle or liquid penetrant test and ultrasonic or radiographic testing.
When unacceptable indications are found, additional area of the same weld length are to be examined unless the 
indication is judged isolated without any doubt. In case of automatic welded joints, additional NDE is to be extended to 
all areas of the same weld length.
The extent of examination can be increased at the surveyor's discretion when repeated non-acceptable indications are 
found</t>
  </si>
  <si>
    <t>Defects and acceptance criteria</t>
  </si>
  <si>
    <t>C-1-10-3.6.1 a) The inspection of pressure pipe welded joints is to be performed at the various stages of the fabrication further to the 
qualifications defined in [3.1.1], item c).
b) The examination mainly concerns those parts to be welded further to their preparation, the welded joints once they have 
been made and the conditions for carrying out possible heat treatments.
c) The required examinations are to be carried out by qualified operators in accordance with procedures and techniques to the 
Surveyor’s satisfaction.</t>
  </si>
  <si>
    <t>15-2-11.1.1 Air pipes are to be fitted to all tanks, cofferdams, tunnels and other compartments which are not fitted with alternative ventilation arrangements.</t>
  </si>
  <si>
    <t>15-2-11.1.2 Air pipes are to be fitted at the opposite end of the tank to that which the filling pipes are placed and/or at the highest part of the tank. Where the tank top is of unusual or irregular profile, special consideration will be given to the number and position of the air pipes.</t>
  </si>
  <si>
    <t>Number and position of air pipes</t>
  </si>
  <si>
    <t>C-1-10-9.1.1  Principle
Air pipes are to be fitted to all tanks, double bottoms, cofferdams, tunnels and other compartments which are not fitted with alternative ventilation arrangements, in order to allow the passage of air or liquid so as to prevent excessive pressure or vacuum in the tanks or compartments, in particular in those which are fitted with piping installations.</t>
  </si>
  <si>
    <t>C-1-10-9.1.2  Number and position of air pipes
Air pipes are to be so arranged and the upper part of compartments so designed that air or gas likely to accumulate at any point in the compartments can freely evacuate.
Air pipes are to be fitted opposite the filling pipes and/or at the highest parts of the compartments, the vessel being assumed to be on an even keel.
Where only one air pipe is provided, it is not to be used as a filling pipe.</t>
  </si>
  <si>
    <t>Air pipes from the sewage and grey water systems</t>
  </si>
  <si>
    <t>Construction of air pipes
Material</t>
  </si>
  <si>
    <t>Construction of air pipes
Minimal diameter</t>
  </si>
  <si>
    <t>Construction of air pipes
Vents acting as overflow</t>
  </si>
  <si>
    <t>Construction of air pipes
Wallthickness</t>
  </si>
  <si>
    <t>Construction of air pipes
Additional supporting</t>
  </si>
  <si>
    <t>Construction of air pipes
Diameter of air pipes</t>
  </si>
  <si>
    <t>15-2-11.6.3 Air pipes are to be generally not less than 38 mm bore. In the case of small gravity filled tanks smaller bore pipes may be accepted but in no case is the bore to be less than 25 mm.</t>
  </si>
  <si>
    <t>15-2-11.8.1 Where a combined air or overflow system is fitted, the arrangement is to be such that in the event of any one of the tanks being bilged, the other tanks cannot be flooded from the sea through combined air pipes or the overflow main. For this purpose, it will normally be necessary to lead the overflow pipe to a point above the waterline in the maximum assumed damage condition.
15-2-11.8.2 Where tanks vent via a common tank, such as an overflow tank, extending to the shell plating, flooding of this tank as a result of damage to the shell plating is not to render the entire venting system inoperable.
15-2-11.8.3 Where a common overflow main is provided, the main is to be sized to allow any two tanks connected to that main to overflow simultaneously.</t>
  </si>
  <si>
    <t>Construction of air pipes
Combined air and overflow systems</t>
  </si>
  <si>
    <t>12.1.2 The minimum wall thickness of steel and aluminium alloy air pipes in positions indicated in Pt 3, Ch 4, 12.2 Height of air pipes 12.2.1 is to be taken as:
t p	=	0,03 d p + 3,6 mm with a maximum of 8,5 mm
where
t p	=	wall thickness of air pipe, in mm
d p	=	external diameter of air pipe, in mm</t>
  </si>
  <si>
    <t xml:space="preserve">C-1-10-9.2.1
a.  Sounding devices are to be fitted to tanks intended to contain liquids as well as to all compartments which are not readily accessible at all times, i.e. void spaces, cofferdams and bilges (bilge wells).
b.  For compartments normally intended to contain liquids, the following systems may be accepted in lieu of sounding pipes:
 - a level gauge of an approved type efficiently protected against shocks, or
 - a remote level gauging system of an approved type, provided an emergency means of sounding is available in the event of failure affecting such system.
c. The internal diameter of sounding pipes is not to be less than 32 mm. Where sounding pipes pass through refrigerated spaces, or through the insulation of refrigerated spaces in which the temperature may be below 0°C, their internal diameter is to be at least 60 mm.
</t>
  </si>
  <si>
    <t>Sounding pipes
Principle</t>
  </si>
  <si>
    <t xml:space="preserve">C-1-10-9.2.2
As far as possible, sounding pipes are to be laid straight and are to extend as near as possible to the bottom of the tank.
Sounding pipes which terminate below the deepest load waterline are to be fitted with self-closing shutoff devices. Such sounding pipes are only permissible in spaces which are accessible at all times. All other sounding pipes are to be extended to the open deck. The sounding pipe openings must always be accessible and fitted with watertight closures.
Sounding pipes of tanks are to be provided close to the top of the tank with holes for equalizing the pressure.
A striking pad is to be fitted under every sounding pipe. Where sounding pipes are connected to the tanks over a lateral branch pipe, the branch-off under the sounding pipe is to be adequately reinforced.
</t>
  </si>
  <si>
    <t>Sounding pipes 
General arrangement</t>
  </si>
  <si>
    <t>C-1-10-9.2.3
Where sounding pipes cannot be extended above the open deck, they must be provided with self-closing shutoff devices as well as with self-closing test valves.
The openings of sounding pipes must be located at a sufficient distance from boilers, electrical equipment and hot components.
Sounding pipes shall not terminate in accommodation or service spaces. They are not to be used as filling pipes.</t>
  </si>
  <si>
    <t>Sounding pipes 
Fuel and lubricating oil tanks</t>
  </si>
  <si>
    <t>3-4-12.2.1 The height of air pipes from the upper surface of decks exposed to the weather, to the point where water may have access below is normally to be not less than:
450 mm on the freeboard deck;
300 mm on the superstructure deck;
these heights being measured above deck sheathing, where fitted.
3-4-12.2.2 Lower heights may be approved in cases where these are essential for the working of the craft, provided that the design and arrangements are otherwise satisfactory.
3-4-12.2.3 An increase in the height of air pipes may be required or recommended by individual Administrations when air pipes to fuel oil and settling tanks are situated in positions where sea water could be temporarily entrapped, e.g. in recesses in the sides and ends of superstructures or deckhouses, between hatch ends, behind high sections of bulwark, etc. This may entail an increase in tank scantlings and will be specially considered.
3-4-12.2.4 Air pipes are generally to be led to an exposed deck. Alternatively, air pipes from cofferdams or void spaces may terminate in the enclosed 'tween deck space on main vehicle decks, provided the space is adequately ventilated and the air pipes are provided with weathertight closing appliances.
3-4-12.2.5 Where air pipes are led through the side of superstructures, the opening is to be at least 2,3 m above the summer load waterline.</t>
  </si>
  <si>
    <t>5.7.2 Where located on the weather deck, air pipes should be kept as far inboard as practicable and be fitted with a coaming of sufficient height to prevent inadvertent flooding. Generally, air pipes to tanks should have a minimum coaming height of:
For unrestricted Yachts:
On weather deck: 760mm
Elsewhere: 380mm
Short Range Yachts: 
On weather deck: 450mm
Elsewhere: 225mm
5.7.3 Air pipes to fuel tanks should terminate at a height of not less than 760mm above either, the top of the filler pipe for a gravity filling tank or, the top of the overflow tank for a pressure filling tank.</t>
  </si>
  <si>
    <t>MCA - MSN 1792(M)2 - The Large Commercial Yacht Code (LY2)</t>
  </si>
  <si>
    <t>5.7.1 Air pipes serving fuel and other tanks should be of efficient construction and provided with permanently attached means of weathertight closure. Means of closure may be omitted if it can be shown that the open end of an air pipe is afforded adequate protection by other structure(s) which will prevent the ingress of water.</t>
  </si>
  <si>
    <t>Drainage of spaces containing low flashpoint fuel</t>
  </si>
  <si>
    <t>15-2-15.2.1 Where it is intended to carry vehicles or craft with fuel in their tanks having a flashpoint (closed-cup test) less than 60̊C for their own propulsion or having re-fuelling facilities for such vehicles or craft, a separate bilge system is to be provided.</t>
  </si>
  <si>
    <t>15-2-15.2.2 The bilge system is to be designed to prevent pumping of flammable liquids through piping and pumps in machinery, accommodation or any other spaces where a source of ignition may exist.</t>
  </si>
  <si>
    <t>15-2-15.2.3 For special requirements relating to the separate bilge system, see Pt 15, Ch 2, 12 Additional requirements relating to fixed pressure water spray fire-extinguishing systems, Pt 15, Ch 2, 15.12 Sizes of bilge suction pipes 15.12.5, Pt 15, Ch 2, 15.14 Pumps on bilge service and their connections 15.14.7 and Pt 15, Ch 2, 15.16 Capacity of pumps 15.16.4.</t>
  </si>
  <si>
    <t>Construction of lubricating oil piping systems</t>
  </si>
  <si>
    <t>C-1-10-12.8.1 Materials
The materials used in the storage and distribution of lubricating oil are to be selected such that they do not introduce contaminants or modify the properties of the oil. In addition to the criterion given in Tab 5, the use of cadmium or zinc in lubricating oil systems, where they may normally come into contact with the oil, is not permitted.</t>
  </si>
  <si>
    <t>C-1-10-12.8.2 Air and overflow pipes
Air and overflow pipes are to comply with [9.1] and [9.3], including [5.10], as applicable.</t>
  </si>
  <si>
    <t>C-1-10-12.8.3 Sounding pipes and level gauges
a) Safe and efficient means of ascertaining the amount of oil contained in any lubricating oil tank are to be provided.
b) Sounding pipes of lubricating oil tanks are to comply with the provisions of [9.2].
c) Oil-level gauges complying with [2.9.2] may be used in place of sounding pipes.
d) Gauge cocks for ascertaining the level in the tanks are not to be used.</t>
  </si>
  <si>
    <t>C-1-10-12.6.1 Remote control of valves
Lubricating oil tanks with a capacity of 500 litres and above are to be fitted with remote controlled valves in accordance withthe provisions of [11.6.4].
The remote controlled valves need not be arranged for storage tanks on which valves are normally closed except during transfer operation, or where it is determined that an unintended operation of a quick closing valve on the oil lubricating tank would endanger the safe operation of the main propulsion and essential auxiliary machinery.</t>
  </si>
  <si>
    <t>C-1-10-12.6.2 Filling and suction pipes
Filling and suction pipes are to comply with the provisions of [11.6.3].</t>
  </si>
  <si>
    <t>C-1-10-12.6.3 Air and overflow pipes
Air and overflow pipes are to comply with the provisions of [9.1] and [9.3].</t>
  </si>
  <si>
    <t>C-1-10-12.6.4 Sounding pipes and level gauges
a) Safe and efficient means of ascertaining the amount of lubricating oil contained in the tanks are to be provided.
b) Sounding pipes are to comply with the provisions of [9.2].
c) Oil-level gauges complying with [2.9.2] may be used in place of sounding pipes.
d) Gauge cocks for ascertaining the level in the tanks are not to be used.</t>
  </si>
  <si>
    <t>C-1-10-12.6.5 Oil collecting tanks for engines
a) In ships required to be fitted with a double bottom, wells for lubricating oil under main engines may be permitted by the Society provided it is satisfied that the arrangements give protection equivalent to that afforded by a double bottom complyingwith Pt B, Ch 2, Sec 2.
b) Where, in ships required to be fitted with a double bottom, oil collecting tanks extend to the outer bottom, a valve is to be fitted on the oil drain pipe, located between the engine sump and the oil drain tank. This valve is to be capable of being closed from a readily accessible position located above the working platform.Alternative arrangements will be given special consideration.
c) Oil collecting pipes from the engine sump to the oil collecting tank are to be submerged at their outlet ends.</t>
  </si>
  <si>
    <t>Design of fuel oil filling and transfer systems</t>
  </si>
  <si>
    <t>C-1-10-11.4.1 General
a) A system of pumps and piping for filling and transferring fuel oil is to be provided.
b) Provisions are to be made to allow the transfer of fuel oil from any storage, settling or service tank to another tank.</t>
  </si>
  <si>
    <t>C-1-10-11.4.2 Filling systems
a) Filling pipes of fuel oil tanks are to terminate on open deck or in filling stations isolated from other spaces and efficiently ventilated. Suitable coamings and drains are to be provided to collect any leakage resulting from filling operations.
The means shall be provided for the filling lines to prevent of possible overpressure during the bunkering operation, which could be caused by pumps from outboard filling station. For that purpose a warning label may be accepted with clearly declared design pressure of the filling lines and the local pressure gauge fitted in vicinity of the filling connection.
b) Arrangements are to be made to avoid overpressure in the filling lines which are served by pumps on board. Where safety valves are provided for this purpose, they are to discharge to the overflow tank referred to in [9.3.3] or to other safe positions deemed satisfactory.</t>
  </si>
  <si>
    <t>C-1-10-11.4.3 Independence of fuel oil transfer lines
Except where permitted in [11.4.4], the fuel oil transfer piping system is to be completely separate from the other piping systems of the ship.</t>
  </si>
  <si>
    <t>C-1-10-11.4.4 Alternative carriage of fuel oil, ballast water or other liquid and dry cargo. Where certain compartments are likely to contain alternatively fuel oil, ballast water and other liquid or dry cargo, the transfer pipes supplying these compartments are to be fitted with blind flanges or other appropriate change-over devices.</t>
  </si>
  <si>
    <t>C-1-10-11.4.5 
a) At least two means of transfer are to be provided. One of these means is to be a power pump. The other may consist of:
• a standby pump, or, alternatively, 
• an emergency connection to another suitable power pump.
Note 1: Where provided, purifiers may be accepted as means of transfer.
b) Where necessary, transfer pumps are to be fitted on their discharge side with a relief valve leading back to the suction of the pump or to any other place deemed satisfactory.</t>
  </si>
  <si>
    <t>Design of fuel oil filling and transfer systems - Transfer pumps</t>
  </si>
  <si>
    <t>International shore connection - Materials and accessories</t>
  </si>
  <si>
    <t>International shore connection - Standard dimensions</t>
  </si>
  <si>
    <t xml:space="preserve">C-4-15-2.1.2  
International shore connections shall be of steel or other equivalent material and shall be designed for 1,0 N/mm2 services. The flange shall have a flat face on one side and, on the other side, it shall be permanently attached to a coupling that will fit the ship's hydrant and hose. The connection shall be kept aboard the ship together with a gasket of any material suitable for 1,0 N/mm2 services, together with four bolts of 16 mm diameter and 50 mm in length, four 16 mm nuts and eight washers.
</t>
  </si>
  <si>
    <t xml:space="preserve">C-4-15-2.1.1  
Table 1 - Standard dimensions of flanges for the international shore connection:
Outside diameter - 178 mm
Inside diameter - 64 mm
Bolt circle diameter - 132 mm
Slots in flange - 4 holes, 19 mm in diameter spaced equidistantly on a bolt circle of the above diameter, slotted to the flange periphery
Flange thickness - 14,5 mm minimum
Bolts and nuts - 4, each of 16 mm diameter, 50 mm in length
</t>
  </si>
  <si>
    <t>MARPOL</t>
  </si>
  <si>
    <t xml:space="preserve">Annex I-3-A-Regulation 13
Standard discharge connection 
To enable pipes of reception facilities to be connected with the ship's discharge pipeline for residues from machinery bilges and from oil residue (sludge) tanks, both lines shall be fitted with a standard discharge connection in accordance with the following table: 
Standard dimensions of flanges for discharge connections:
Description  Dimension  
Outside diameter  215 mm  
Inner diameter  According to pipe outside diameter  
Bolt circle diameter  183 mm  
Slots in flange  6 holes 22 mm in diameter equidistantly placed on a bolt circle of the above diameter, slotted to the flange periphery. The slot width to be 22 mm  
Flange thickness  20 mm  
Bolts and nuts:  6, each of 20 mm in diameter and of suitable length quantity, diameter.
The flange is designed to accept pipes up to a maximum internal diameter of 125 mm and shall be of steel or other equivalent material having a flat face. This flange, together with a gasket of oil-proof material, shall be suitable for a service pressure of 600 kPa.  </t>
  </si>
  <si>
    <t>Bureau Veritas - NR467 - Steel ships</t>
  </si>
  <si>
    <t>Bureau Veritas - NR566 - Ships &lt; 500GT</t>
  </si>
  <si>
    <t xml:space="preserve">2-5-1.1.1  General
An efficient bilge pumping system shall be provided, capable of pumping from and draining any watertight compartment other than a space permanently appropriated for the carriage of fresh water, water ballast, fuel oil or liquid cargo and for which other efficient means of pumping are to be provided, under all practical conditions.
The draining systems is to be able to work when the ship is on an even keel and either is upright or has a list of up to 5°.
Efficient means shall be provided for draining water from insulated holds.
Bilge pumping system is not intended at coping with water ingress resulting from structural or main sea water piping damage.
</t>
  </si>
  <si>
    <t>2-5-1.1.2  Omission of bilge pumping
If deemed acceptable by the Society, bilge pumping arrangement may be dispensed with in specific compartments, provided the safety of the ship is not impaired.
As specific compartment could be accepted compartments that:
are closed and only accessible through manhole, and
have no air pipe, and
have no machinery piping except through running pipes of welded construction or cable, and are fitted with means for sounding.
The design of such specific compartment is such that one of the following conditions are met:
volume is not more than 0,5% of LLLBD, or
stability loading cases includes such compartments as tanks filled with seawater and maximum free surface effect. In case there are more such specific compartments, than only one compartment is to be considered.</t>
  </si>
  <si>
    <t>2-5-1.1.3  Independence of the lines
As a general rule, bilge lines are to be distinct from the other lines of the ship. However, this requirement need not be applied to pipes located between collecting boxes and pump suctions or between pumps and overboard discharges.</t>
  </si>
  <si>
    <t>2-5-1.1.5  Number and distribution of suctions
At least two bilge suctions are to be provided for draining the propulsion engine room. At least one of these suctions is to be connected directly to a bilge pump.
The suctions are to be located at the lowest points of the compartment.
Additional suctions may be required if the flow of water towards the suctions is disturbed by irregularities of the bottom.
At least one bilge suction is to be provided in watertight compartments other than the propulsion engine room.</t>
  </si>
  <si>
    <t>2-5-1.2.1  Pumps
a. At least two power bilge pumps are to be provided; one of these pumps may be driven by a main propulsive engine.
b. The Society may permit, after special consideration, that one of the pumps be replaced by an ejector.
c. For ships of 12 m in length and over, the bilge pumps are to be connected to the bilge main mentioned in [1.3.1], unless the alternative arrangement of [1.4] is complied with
d. For ships of less than 24 m in length, the Society may permit, after special consideration, that one of bilge pumps be a fixed hand pump
e. Small compartments may be drained by means of portable or fixed hand pumps.</t>
  </si>
  <si>
    <t>2-5-1.2.2  Ejectors
Where an ejector is used in lieu of a driven pump, its suction capacity is not to be less than the required capacity of the pump it replaces.</t>
  </si>
  <si>
    <t>2-5-1.2.3  Capacity of the pumps
The capacity of the bilge pumps is to be such that a speed of water not less than 1,22 m/s may be obtained in the bilge main the diameter of which is given in [1.3.1]. The capacity of each pump is therefore not to be less than:
Q = 0,00345 d12
where:
Q : Minimum capacity of each pump, in m3/h
d1 : Internal diameter, in mm, of the bilge main as defined in [1.3.1].</t>
  </si>
  <si>
    <t xml:space="preserve">C-1-10-6.7.4  Each power bilge pump is to be capable of pumping water through the required main bilge pipe at a speed of not less than 2 m/s.
The capacity of each pump or group of pumps is not to be less than:
Q = 0,00565 d2
where:
Q : Minimum capacity of each pump or group of pumps, in m3/h
d : Internal diameter, in mm, of the bilge main as defined in [6.8.1].
Note 1 :   For cargo ships of less than 35 m in length:
the speed of water to be considered for calculating the capacity may be reduced to 1,22 m/s
the capacity of each pump or group of pumps is not to be less than Q = 0,00345 d2.
If the capacity of one of the pumps or one of the groups of pumps is less than the Rule capacity, the deficiency may be compensated by an excess capacity of the other pump or group of pumps; as a rule, such deficiency is not permitted to exceed 30% of the Rule capacity.
Note 1 :   This provision does not apply to passenger ships.
The capacity of hand pumps is to be based on one movement once a second.
Where an ejector is used in lieu of a driven pump, its suction capacity is not to be less than the required capacity of the pump it replaces.
</t>
  </si>
  <si>
    <t>2-5-1.2.4  Use of other pumps for bilge duties
Other pumps may be used for bilge duties, such as fire, general service or ballast pumps, provided that:
they meet the capacity requirements
suitable piping arrangements are made
pumps are available for bilge duty when necessary.
The use of bilge pumps for fire duty is to comply with the provisions of Chapter 4.</t>
  </si>
  <si>
    <t>2-5-1.3.1  Bilge main
The internal diameter, in mm, of the bilge main, is to be of the commercial size nearest to the diameter given in the following formula, in mm:
d1 - 1.68 VLll(B+D) + 25
where:
LLL : Loadline length of the ship, in m, defined in Ch 1, Sec 1, [1.4.1]
B : Breadth of the ship, in m, defined in Ch 1, Sec 1, [1.4.3]
D : Moulded depth of the ship, in m, defined in Ch 1, Sec 1, [1.4.4].
In addition, d1 is not to be less than 35 mm.</t>
  </si>
  <si>
    <t>2-5-1.3.2  Suctions in holds and machinery spaces
The internal diameter, in mm, of bilge pipes situated between collecting boxes and suctions in holds and machinery spaces, is to be of the commercial size nearest to the diameter given by the following formula, in mm:
d1 - 1.68 VLll(B+D) + 25
where:
B, D : Dimensions defined in [1.3.1]
L1 : Length of the compartment, in m.
In addition, d2 is not to be less than 35 mm.</t>
  </si>
  <si>
    <t>2-5-1.5.4  Draining of fore and aft peaks
Where the peaks, if any, are not used as tanks and bilge suctions are not fitted, drainage of both peaks may be effected by hand pump suction provided that the suction lift is well within the capacity of the pump and in no case exceeds 7,3 m.</t>
  </si>
  <si>
    <t>2-5-1.5.5  Draining of spaces above fore and aft peaks
Provision is to be made for the drainage of the chain lockers and watertight compartments above the fore peak tank, if any, by hand or power pump suctions
Steering gear compartments or other small dry enclosed spaces situated in the aft peak may be drained by scuppers discharging in the machinery space if fitted with self-closing cocks situated in visible and readily accessible positions. However, in the case of rudder stock glands located below the summer load line, the draining of the steering gear compartment are to be connected to the main bilge system.</t>
  </si>
  <si>
    <t>2-5-1.5.6  Access to valves and distribution boxes
All distribution boxes and manually operated valves in connection with the bilge pumping arrangement are to be in positions which are accessible under ordinary circumstances.</t>
  </si>
  <si>
    <t>2-4-5.7.2  Pipes passing through the collision bulkhead below the freeboard deck are to be fitted with suitable valves operable from above the freeboard deck. These valves are to be of steel, bronze or other approved ductile material. Valves of ordinary cast iron or similar material are not acceptable.
The remote operation device of the valve referred to in item a) is to include an indicator to show whether the valve is open or shut.</t>
  </si>
  <si>
    <t>Seawater influx calculation</t>
  </si>
  <si>
    <t>311 312 330 340</t>
  </si>
  <si>
    <t xml:space="preserve">C-4-6-1.2.1  Materials readily rendered ineffective by heat shall not be used for fire mains and hydrants unless adequately protected. The pipes and hydrants shall be so placed that the fire hoses may be easily coupled to them. The arrangement of pipes and hydrants shall be such as to avoid the possibility of freezing. Suitable drainage provisions shall be provided for fire main piping. Isolation valves shall be installed for all open deck fire main branches used for purposes other than fire fighting. In ships where deck cargo may be carried, the positions of the hydrants shall be such that they are always readily accessible and the pipes shall be arranged as far as practicable to avoid risk of damage by such cargo.
</t>
  </si>
  <si>
    <t>4-5-2.3.1  Materials are to be in compliance with Ch 2, Sec 4, [1.6]. Where steel pipes are used, they are to be galvanized internally and externally. Cast iron pipes are not acceptable. The pipes and hydrants are to be so placed that the fire hoses may be easily coupled to them. The arrangement of pipes and hydrants are to be such as to avoid the possibility of freezing. In ships where deck cargo may be carried, the positions of the hydrants are to be such that they are always readily accessible and the pipes are to be arranged, as far as practicable, to avoid risk of damage by such cargo. There is to be complete interchangeability of hose couplings and nozzles.</t>
  </si>
  <si>
    <t>4-5-2.3.2  The diameter of the fire main is to be based on the required capacity of the fixed main fire pump(s) and the diameter of the water service pipes is to be sufficient to ensure an adequate supply of water for the operation of at least one fire hose
The wash deck line may be used as a fire main provided that the requirements of this sub-article are satisfied
All exposed water pipes for fire-extinguishing systems are to be provided with drain valves for use in frosty weather. The valves are to be located where they will not be damaged by cargo.</t>
  </si>
  <si>
    <t>2.3.3  When the main fire pump is delivering the quantity of water required by [2.2.1], or the fire pump described in [2.2.5], item b), through the fire main, fire hoses and nozzles, the pressure maintained at any hydrant is to be sufficient to produce a jet throw at any nozzle of not less than 12 m in length (for ships of less than 24 m in length, the jet of water may be specially considered).</t>
  </si>
  <si>
    <t>2.3.4  Where a fixed fire pump is fitted outside the engine room, in accordance with [2.2.5], item b):
an isolating valve is to be fitted in the fire main so that all the hydrants in the ship, except that or those in the Category A machinery space, can be supplied with water. The isolating valve is to be located in an easily accessible and tenable position outside the Category A machinery space; and
the fire main is not to re-enter the machinery space downstream of the isolating valve.
Short lengths of suction or discharge piping may penetrate the machinery space, provided they are enclosed in a substantial steel casing or are insulated to A-60 class standards. The pipes shall have substantial wall thickness, but in no case less than 11 mm, and shall be welded except for the flanged connection to the sea inlet valve.</t>
  </si>
  <si>
    <t>4-5-2.3.5.b
A valve is to be fitted at each fire hydrant so that any fire hose may be removed while the fire pump is at work.</t>
  </si>
  <si>
    <t>4-5-2.3.5.a
a. for ships of less than 24 m in length, the number and position of the hydrants are to be such that at least one jet of water may reach any part normally accessible to the crew, while the ship is being navigated and any part of any cargo space when empty. Furthermore, such hydrants are to be positioned near the accesses to the protected spaces
for ships of 24 m in length and over, the number and position of hydrants is to be such that at least two jets of water not emanating from the same hydrant, one of which is to be from a single length of hose, may reach any part of the ship normally accessible to the crew while the ship is being navigated and any part of any cargo spaces when empty. Furthermore, such hydrants are to be positioned near the accesses to the protected spaces. Other requirements specified by the Administration may be considered.</t>
  </si>
  <si>
    <t>1-4-9.1.1  Height of air pipes
The height of air pipes extending above the freeboard deck or superstructure deck from the deck to the point where water may have access below is to be at least:
760 mm on the freeboard deck, and
450 mm on the superstructure deck.
This height is to be measured from the upper face of the deck, including sheathing or any other covering, up to the point where water may penetrate inboard.
Where these heights may interfere with the working of the ship, a lower height may be approved, provided the Society is satisfied that this is justified by the closing arrangements and other circumstances. Satisfactory means which are permanently attached are to be provided for closing the openings of the air pipes
The height of air pipes may be required to be increased for the purpose of compliance with buoyancy calculations.
The air  pipe  of tanks other than oil tanks may discharge through the side of the superstructures
The height of air pipes discharging through the side of the superstructure is to be at least 2,3 m above the summer load waterline.
For ships specified in Sec 1, [1.1.5] or with LLL less than 24 m, the height of air pipes extending above the freeboard deck or superstructure deck from the deck to the point where water may have access below is to be at least:
380 mm on the freeboard deck, and
225 mm on the superstructure deck.</t>
  </si>
  <si>
    <t>1-4-9.1.3  Exposed part of air pipes
Where air pipes extend above the freeboard deck or superstructure deck, the exposed parts of the pipes are to be of reinforced thickness in accordance with Ch 2, Sec 4, [2].</t>
  </si>
  <si>
    <t>C-1-10-9.1.1  Air pipes are to be fitted to all tanks, double bottoms, cofferdams, tunnels and other compartments which are not fitted with alternative ventilation arrangements, in order to allow the passage of air or liquid so as to prevent excessive pressure or vacuum in the tanks or compartments, in particular in those which are fitted with piping installations.</t>
  </si>
  <si>
    <t>2-5-3.2.1  Air pipes are to be fitted to all tanks, double bottoms, cofferdams, tunnels and other watertight compartments which are not fitted with alternative ventilation arrangements, in order to allow the passage of air or liquid so as to prevent excessive pressure or vacuum in the tanks or compartments, in particular in those which are fitted with piping installations. Their open ends are to be so arranged as to prevent the free entry of sea water in the compartments.</t>
  </si>
  <si>
    <t>2-5-3.2.2  Air pipes are to be so arranged and the upper part of compartments so designed that air or gas likely to accumulate at any point in the compartments can freely evacuate
Air pipes are to be fitted opposite the filling pipes and/or at the highest parts of the compartments
Where only one air pipe is provided, it is not to be used as a filling pipe.</t>
  </si>
  <si>
    <t>2-5-3.2.3  Air pipes are to be led above the freeboard deck in the following cases:
fuel oil tanks
lubrication oil and hydraulic oil tanks in contact with seawater (e.g. integrated side tanks)
all tanks intended to be pumped up
double bottom and other watertight compartments.</t>
  </si>
  <si>
    <t>Location of open ends of air pipes</t>
  </si>
  <si>
    <t xml:space="preserve">C-1-10-9.1.2  
a. Air pipes are to be so arranged and the upper part of compartments so designed that air or gas likely to accumulate at any point in the compartments can freely evacuate.
b. Air pipes are to be fitted opposite the filling pipes and/or at the highest parts of the compartments, the vessel being assumed to be on an even keel.
c. In general, two air pipes are to be fitted for each compartment, except in small compartments, where only one air pipe may be accepted. When the top of the compartment is of irregular form, the position of air pipes will be given special consideration by the Society.
Note 1 :   Two air vents are normally required for long tanks e.g. a ballast tank in a double hull ship.
In machinery spaces, two air vents are not normally required.
d. Where only one air pipe is provided, it is not to be used as a filling pipe.
</t>
  </si>
  <si>
    <t>Location of open ends of air pipes </t>
  </si>
  <si>
    <t>C-1-10-9.1.3
a. Air pipes of double bottom compartments, tunnels, deep tanks and other compartments which can come into contact with the sea or be flooded in the event of hull damage are to be led to above the bulkhead deck or the freeboard deck.
Note 1 :   In ships not provided with a double bottom, air pipes of small cofferdams or tanks not containing fuel oil or lubricating oil may discharge within the space concerned.
b. Air pipes of tanks intended to be pumped up are to be led to the open above the bulkhead deck or the freeboard deck.
c. Air pipes other than those of flammable oil tanks may be led to enclosed cargo spaces situated above the freeboard deck, provided that:
 - overflow pipes are fitted in accordance with [9.3.4], where the tanks may be filled by pumping
 - enclosed cargo spaces are fitted with scuppers discharging overboard and being capable of draining all the water which may enter through the air pipes without giving rise to any water accumulation
 - suitable drainage arrangement is to be fitted below the air pipe outlet, leading to the nearest scupper
 - such arrangement is not to impair integrity of fire divisions or watertight decks and bulkheads subject to the damage stability requirements.
d. Unless otherwise specified, in passenger ships the open end of air pipes terminating within a superstructure shall be at least 1 m above the waterline when the ship heels to an angle of 15°, or the maximum angle of heel during intermediate stages of flooding, as determined by direct calculation, whichever is the greater. Alternatively, air pipes from tanks other than oil tanks may discharge through the side of the superstructure.
e. The air pipe of the scupper tank is to be led to above freeboard deck.
f. The location of air pipes for flammable oil tanks is also to comply with [9.1.7].</t>
  </si>
  <si>
    <t xml:space="preserve">C-1-10-9.1.4  Height of air pipes
Their open ends are to be so arranged as to prevent the free entry of water in the compartment.
The height dAP, in m, of air pipes above the deck is to be such that:
zAP ≥ max (T + n / 1,7 ; zLE) + δAP
where:
zAP :  Z co-ordinate, in m, of the top of air pipe
zLE :  Z co-ordinate, in m, of the lower end (above deck) of air pipe
n :  Navigation coefficient defined in  Pt B, Ch 3, Sec 1, [5.2]
T :  Draught, in m, defined in Pt B, Ch 1, Sec 2
δAP :  Increase of air pipe height, in m
for pipes with closing devices:  δAP = 0,15
for pipes without closing devices:  δAP = max (0,15 ; 0,39 n)
</t>
  </si>
  <si>
    <t>2-5-3.3.3  Where sounding pipes are used in flammable (except lubricating) oil systems, they are to terminate in the open air, where no risk of ignition of spillage from the sounding pipe might arise. In particular, they are not to terminate in passenger or crew spaces. As a general rule, they are not to terminate in machinery spaces. However, where the Society considers that this requirement is impracticable, it may permit termination in machinery spaces on condition that the sounding pipes terminate not close to source of ignition and are to be fitted with automatic closing appliance.
2-5-3.3.4  Closing appliances
Self-closing appliances are to be fitted with cylindrical plugs having counterweights such as to ensure automatic closing
Closing appliances not required to be of the self-closing type may consist of a metallic screw cap secured to the pipe by means of a chain or a shut-off valve.</t>
  </si>
  <si>
    <t>Sounding pipes 
Closing appliances</t>
  </si>
  <si>
    <t>C-1-10-9.2.5
a. Self-closing appliances are to be fitted with cylindrical plugs having counterweights such as to ensure automatic closing.
b. Closing appliances not required to be of the self-closing type may consist of a metallic screw cap secured to the pipe by means of a chain or a shut-off valve.</t>
  </si>
  <si>
    <t>2-5-3.3.4  
Self-closing appliances are to be fitted with cylindrical plugs having counterweights such as to ensure automatic closing
Closing appliances not required to be of the self-closing type may consist of a metallic screw cap secured to the pipe by means of a chain or a shut-off valve.</t>
  </si>
  <si>
    <t>Construction of sounding pipes</t>
  </si>
  <si>
    <t>C-1-10-9.2.6
a. Sounding pipes are normally to be straight. If it is necessary to provide bends in such pipes, the curvature is to be as small as possible to permit the ready passage of the sounding apparatus.
b. In cargo ships, the sounding arrangement of compartments by means of bent pipes passing through other compartments will be given special consideration by the Society. Such an arrangement is normally accepted only if the compartments passed through are cofferdams or are intended to contain the same liquid as the compartments served by the sounding pipes.
c. Bent portions of sounding pipes are to have reinforced thickness and be suitably supported.
d. The internal diameter of sounding pipes is not to be less than 32 mm. Where sounding pipes pass through refrigerated spaces, or through the insulation of refrigerated spaces in which the temperature may be below 0°C, their internal diameter is to be at least 60 mm.
e. Doubling plates are to be placed under the lower ends of sounding pipes in order to prevent damage to the hull. When sounding pipes with closed lower ends are used, the closing plate is to have reinforced scantlings.</t>
  </si>
  <si>
    <t>2-5-3.3.5  
a. Sounding pipes are normally to be straight. If it is necessary to provide bends in such pipes, the curvature is to be as small as possible to permit the ready passage of the sounding apparatus
b. The internal diameter of sounding pipes is not to be less than 32 mm
c. Doubling plates are to be placed under the lower ends of sounding pipes in order to prevent damage to the hull. When sounding pipes with closed lower ends are used, the closing plate is to have reinforced scantling.</t>
  </si>
  <si>
    <t>2-5-3.4.1  
Overflow pipes are to be fitted to tanks:
which can be filled by pumping and are designed for a hydrostatic pressure lower than that corresponding to the height of the air pipe, or
where the cross-sectional area of air pipes is less than that prescribed in [3.2.6].</t>
  </si>
  <si>
    <t>2-5-3.4.2  Design of overflow systems
a. Overflow pipes are to be led:
 - either outside, or
 - in the case of fuel oil or lubricating oil, to an overflow tank of adequate capacity or to a storage tank having a space reserved for overflow purposes.
b. Overflow pipes are to be led to a high enough point above the deepest load waterline or, alternatively, non-return valves are to fitted where necessary, to prevent any risk of flooding due to hull damage.
c. Arrangements are to be made so that a compartment cannot be flooded from the sea through the overflow in the event of another compartment connected to the same overflow main being flooded. To this end, the openings of overflow pipes discharging overboard are as a rule to be placed above the deepest load waterline and are to be fitted where necessary with non-return valves on the plating, or, alternatively, overflow pipes from tanks are to be led to a point above the deepest load waterline.</t>
  </si>
  <si>
    <t>C-1-10-9.3.3
a. Overflow tanks are to have a capacity sufficient to receive the delivery of the pumps for at least 10 minutes.
b. Overflow tanks are to be fitted with an air pipe complying with [9.1] which may serve as an overflow pipe for the same tank. When the vent pipe reaches a height exceeding the design head of the overflow tank, suitable means are to be provided to limit the actual hydrostatic head on the tank.
Such means are to discharge to a position which is safe in the opinion of the Society.
c. An alarm device is to be provided to give warning when the oil reaches a predetermined level in the tank, or alternatively, a sight-flow glass is to be provided in the overflow pipe to indicate when any tank is overflowing. Such sight-flow glasses are only to be placed on vertical pipes and in readily visible positions.</t>
  </si>
  <si>
    <t>2-5-3.4.3
a. Overflow tanks are to be fitted with an air pipe complying with [3.2] which may serve as an overflow pipe for the same tank. When the vent pipe reaches a height exceeding the design head of the overflow tank, suitable means are to be provided to limit the actual hydrostatic head on the tank.
Such means are to discharge to a position which is safe in the opinion of the Society.
b. An alarm device is to be provided to give warning when the oil reaches a predetermined level in the tank, or alternatively, a sight-flow glass is to be provided in the overflow pipe to indicate when any tank is overflowing. Such sight-flow glasses are only to be placed on vertical pipes and in readily visible positions.</t>
  </si>
  <si>
    <t>Specific arrangements for construction of overflow pipes</t>
  </si>
  <si>
    <t>C-1-10-9.3.3
a. The internal diameter of overflow pipes is not to be less than 50 mm.
b. In each compartment which can be pumped up, the total cross-sectional area of overflow pipes is not to be less than 1,25 times the cross-sectional area of the corresponding filling pipes.
c. The cross-sectional area of the overflow main is to be sufficient to allow the two largest pipes to discharge simultaneously into the main.
d. Sight glasses may be accepted on overflow lines from fuel oil and lubricating oil systems, provided that:
 - they are located in a vertically dropping line on readily visible and well lit position
 - they are protected against mechanical damages
 - the glass is of heat resisting type.</t>
  </si>
  <si>
    <t>2-5-3.4.4
a. In each compartment which can be pumped up, the total cross-sectional area of overflow pipes is not to be less than 1,25 times the cross-sectional area of the corresponding filling pipes
b. The cross-sectional area of the overflow main is not to be less than the aggregate cross-sectional area of the two largest pipes discharging into the main.</t>
  </si>
  <si>
    <t>2-5-3.2.6  
a. In each compartment likely to be pumped up, and where no overflow pipe  is provided, the total cross-sectional area of air  pipes is not to be less than 1,25 times the cross-sectional area of the corresponding filling pipes.</t>
  </si>
  <si>
    <t>2-5-3.2.6.b. Air pipes with height exceeding 900 mm are to be additionally supported.</t>
  </si>
  <si>
    <t>320 321 322 362 363 610</t>
  </si>
  <si>
    <t>2-4-5.13.3  
a. Tanks used for the storage of flammable oils together with their fittings are to be so arranged as to prevent spillages due to leakage or overfilling
b. Drip trays with adequate drainage to contain possible leakage from flammable fluid systems are to be fitted:
 - under independent tanks
 - under burners
 - under purifiers and any other oil processing equipment
 - under pumps, heat exchangers and filters
 - under valves and all accessories subject to oil leakage
 - surrounding internal combustion engines.
c. The coaming height of drip trays is to be appropriate for the service and not less than 80 mm
d. Where drain pipes are provided for collecting leakages, they are to be led to an appropriate drain tank.</t>
  </si>
  <si>
    <t>2-4-5.13.4  Drain tank
a. The drain tank is not to form part of an overflow system and is to be fitted with an overflow alarm device
b. In ships required to be fitted with a double bottom, appropriate precautions are to be taken when the drain tank is constructed in the double bottom, in order to avoid flooding of the machinery space where drip trays are located, in the event of accidentally running aground.</t>
  </si>
  <si>
    <t>2-4-5.13.5  All valves and cocks forming part of flammable oil systems are to be capable of being operated from readily accessible positions and, in machinery spaces, from above the working platform.</t>
  </si>
  <si>
    <t>2-4-5.13.6  Level switches
Level switches fitted to flammable oil tanks are to be contained in a steel or other fire-resisting enclosure.</t>
  </si>
  <si>
    <t xml:space="preserve">C-1-10-6.3.2  Number and distribution of bilge suctions
a. Draining of watertight spaces is to be possible, when the ship is on an even keel and either is upright or has a list of up to 5°, by means of at least:
 - two suctions in machinery spaces, including one branch bilge suction and one direct suction and, in addition, for spaces containing propulsion machinery, one emergency bilge suction
 - one suction in other spaces.
See also [6.5.5].
b. Bilge suctions are to be arranged as follows:
 - wing suctions are generally to be provided except in the case of short and narrow compartments when a single suction ensures effective draining in the above conditions
 - in the case of compartments of unusual form, additional suctions may be required to ensure effective draining under the conditions mentioned in item a).
c. In all cases, arrangements are to be made such as to allow a free and easy flow of water to bilge suctions.
</t>
  </si>
  <si>
    <t>2-5-3.2.3 Air pipes are to be led above the freeboard deck in the following cases:
 - fuel oil tanks
 - lubrication oil and hydraulic oil tanks in contact with seawater (e.g. integrated side tanks)
 - all tanks intended to be pumped up
 - double bottom and other watertight compartments.</t>
  </si>
  <si>
    <t>C-1-10-9.1.6  Other arrangements for air pipes
Air pipes are to be laid vertically. Air pipes passing through cargo holds are to be protected against damage.
Cofferdams and void spaces with bilge connections must be provided with air pipes terminating above the open deck.</t>
  </si>
  <si>
    <t>C-1-10-9.1.4 
Where tanks are filled by pumping through permanently installed pipelines, the inside cross-section of the air pipes must equal at least 125% that of the corresponding filling pipe.</t>
  </si>
  <si>
    <t>C-1-10-9.1.5  Special arrangements for air pipes of flammable oil tanks
Air pipes of lubricating oil storage tanks may terminate in the engine room. Air pipes of the lubricating oil storage tanks which forming part of the vessel's shell are to terminate in the engine room casing above the bulkhead deck.
It is necessary to ensure that no leaking oil can spread on to heated surfaces where it may ignite.
The air pipes of lubricating oil tanks, gear and engine crankshaft casings shall not be led to a common line.</t>
  </si>
  <si>
    <t>C-1-10-9.1.4  Construction of air pipes
Where tanks are filled by pumping through permanently installed pipelines, the inside cross-section of the air pipes must equal at least 125% that of the corresponding filling pipe.</t>
  </si>
  <si>
    <t>Special arrangements for air pipes of flammable oil tanks</t>
  </si>
  <si>
    <t>2-5-3.2.4  
a. Air pipes from fuel oil tanks are to discharge to a safe position on the open deck where no danger will be incurred from issuing oil or gases
b. Air pipes of lubricating or hydraulic oil storage tanks not subject to flooding in the event of hull damage may be led to machinery spaces, provided that in the case of overflowing the oil cannot come into contact with electrical equipment, hot surfaces or other sources of ignition
c. Air pipes of fuel oil service, settling and lubrication oil tanks likely to be damaged by impact forces are to be adequately reinforced
Where fitted, wire gauze diaphragms are to be of corrosion resistant material and readily removable for cleaning and replacement. The clear area of such diaphragms is not to be less than the cross-sectional area of the pipe
d. For tanks of less than 30 litres capacity, separate vent pipes may be dispensed if the filling pipe is suitably arranged.</t>
  </si>
  <si>
    <t>C-1-10-9.1.7  Air pipes of lubricating oil storage tanks may terminate in the engine room. Air pipes of the lubricating oil storage tanks which forming part of the vessel's shell are to terminate in the engine room casing above the bulkhead deck.
It is necessary to ensure that no leaking oil can spread on to heated surfaces where it may ignite.
The air pipes of lubricating oil tanks, gear and engine crankshaft casings shall not be led to a common line.</t>
  </si>
  <si>
    <t>Passage of pipes through certain spaces</t>
  </si>
  <si>
    <t>Application scuppers and sanitary discharges</t>
  </si>
  <si>
    <t>Any tank used for holding sewage shall comply with</t>
  </si>
  <si>
    <t>C-1-10-8.2.e  Sewage and grey water may be collected into storage tanks together or separately, either for holding prior to transfer to a treatment unit, or for later discharge. Any tank used for holding sewage shall comply with the following:
 - suitable air pipes shall be fitted, leading to the open deck
 - design and configuration of those tanks should be such as to facilitate the effective drainage and flushing of the tanks
 - suitable means for flushing of the tanks shall be provided
 - such tanks are to be efficiently protected against corrosion
 - tanks shall have a means to indicate visually the amount of its content
 - suitable means for emptying sewage tanks through the standard discharge connection to reception facilities shall be provided. Ballast and bilge pumps are not be used for that purpose.</t>
  </si>
  <si>
    <t>C-1-10-8.2.f  Air pipes from the sewage and grey water systems are to be independent of all other air pipes and to be led to the outside of the vessel, away from any air intake. Such pipes should not terminate in areas to which personnel have frequent access and should be clear of any sources of ignition.</t>
  </si>
  <si>
    <t>C-1-10-8.2.g  The overboard discharges shall be located as far from river water inlets as possible, seen in the direction of travel. In general, the sewage outlets should be located below loadline.</t>
  </si>
  <si>
    <t>C-1-10-8.2.h  The sewage and grey water discharge lines are to be fitted at the vessels" side with screw-down valve and non-return valve.
The non-return valve may be omitted where the open inlets of the sanitary discharge are situated sufficiently high above the bulkhead deck and the pipe wall thicknesses are equal to that of the vessel's shell.</t>
  </si>
  <si>
    <t>343 351</t>
  </si>
  <si>
    <t xml:space="preserve">C-1-10-8.11.10.e Sewage  and grey water may be collected into storage tanks together or separately, either for holding  prior to transfer to a treatment unit, or for later discharge. Any tank  used for holding  sewage  shall comply with the following:
 - suitable air pipes shall be fitted, leading to the open deck
 - design and configuration of those tanks should be such as to facilitate the effective drainage and flushing of the tanks
 - suitable means for flushing of the tanks shall be provided
 - such tanks are to be efficiently protected against corrosion
 - tanks shall have a means to indicate visually the amount of its content
 - suitable means for emptying sewage tanks through the standard discharge connection to reception facilities shall be provided. Ballast and bilge pumps are not be used for that purpose.
</t>
  </si>
  <si>
    <t>313
330
332
340
341
343
345
346</t>
  </si>
  <si>
    <t>Valves and pipes - Materials</t>
  </si>
  <si>
    <t>Thickness of scuppers and drains</t>
  </si>
  <si>
    <t>Operation of the valves</t>
  </si>
  <si>
    <t>C-1-10-8.10.1  All shell fittings and valves are to be of steel, bronze or other ductile material. Valves of ordinary cast iron or similar material are not acceptable. All scupper and discharge pipes are to be of steel or other ductile material. Refer to [2.1].
Plastic is not to be used for the portion of discharge line from the shell to the first valve.</t>
  </si>
  <si>
    <t>C-1-10-8.10.2
a. The thickness of scupper and discharge pipes led to the bilge or to draining tanks is not to be less than that required in [2.2].
b. The thickness of scupper and discharge pipes led to the shell is not to be less than the minimum thickness given in Fig 3 and Tab 25.</t>
  </si>
  <si>
    <t>C-1-10-8.10.3
a. Where valves are required to have positive means of closing, such means is to be readily accessible and provided with an indicator showing whether the valve is open or closed.
b. Where plastic pipes are used for sanitary discharges and scuppers, the valve at the shell is to be operated from outside the space in which the valve is located.
Where such plastic pipes are located below the summer waterline (timber summer load waterline), the valve is to be operated from a position above the freeboard deck.
Refer also to Ch 1, App 3.</t>
  </si>
  <si>
    <t xml:space="preserve">C-1-10-5.3.2  Penetration of watertight bulkheads or decks and fire divisions
a. Where penetrations of watertight bulkheads or decks and fire divisions are necessary for piping and ventilation, arrangements are to be made to maintain the watertight integrity and fire integrity. See also Ch 4, Sec 5, [2].
Note 1 :   In cargo ships, the Society may permit relaxation in the water tightness of opening above the freeboard deck, provided that it is demonstrated that any progressive flooding can be easily controlled and that the safety of the ship is not impaired
b. Lead or other heat-sensitive materials are not to be used in piping systems which penetrate watertight subdivision bulkheads or decks, where deterioration of such systems in the event of fire would impair the watertight integrity of the bulkhead or decks.
This applies in particular to the following systems:
 - bilge system
 - ballast system
 - scuppers and sanitary discharge systems.
c. Where bolted connections are used when passing through watertight bulkheads or decks, the bolts are not to be screwed through the plating. d. Where welded connections are used, they are to be welded on both sides of the bulkhead or deck.
Penetrations of watertight bulkheads or decks and fire divisions by plastic pipes are to comply with Ch 1, App 3, [4.7.2].
</t>
  </si>
  <si>
    <t>C-1-10-5.3.3  Passage through the collision bulkhead
a. Except as provided in b) the collision bulkhead may be pierced below the bulkhead deck of passenger ships and the freeboard deck of cargo ships by not more than one pipe for dealing with fluid in the forepeak tank, provided that the pipe is fitted with a screw-down valve capable of being operated from above the bulkhead deck of passenger ships and the freeboard deck of cargo ships, the valve being located inside the forepeak at the collision bulkhead. The Society may, however, authorize the fitting of this valve on the after side of the collision bulkhead provided that the valve is readily accessible under all service conditions and the space in which it is located is not a cargo space. Alternatively, for cargo ships, the pipe may be fitted with a butterfly valve suitably supported by a seat or flanges and capable of being operated from above the freeboard deck. All valves shall be of steel, bronze or other approved ductile material. Valves of ordinary cast iron or similar material are not acceptable.
b. If the forepeak is divided to hold two different kinds of liquids the Society may allow the collision bulkhead to be pierced below the bulkhead deck of passenger ships and the freeboard deck of cargo ships by two pipes, each of which is fitted as required by a), provided the Society is satisfied that there is no practical alternative to the fitting of such a second pipe and that, having regard to the additional subdivision provided in the forepeak, the safety of the ship is maintained
c. The remote operation device of the valve referred to in a) is to include an indicator to show whether the valve is open or shut.</t>
  </si>
  <si>
    <t>2-4-5.7.1  Penetration of watertight bulkheads and decks
a. Where penetrations of watertight bulkheads and internal decks are necessary for piping and ventilation, arrangements are to be made to maintain the watertight integrity
b. Lead or other heat sensitive materials are not to be used in piping systems which penetrate watertight subdivision bulkheads or decks, where deterioration of such systems in the event of fire would impair the watertight integrity of the bulkhead or decks.
This applies in particular to the following systems:
bilge system
ballast system
scuppers and sanitary discharge systems.
c. Where bolted connections are used when passing through watertight bulkheads or decks, the bolts are not to be screwed through the plating. Where welded connections are used, they are to be welded on both sides of the bulkhead or deck
d. Penetration of watertight bulkheads or decks by plastic pipes are to comply with [3.6.6].</t>
  </si>
  <si>
    <t>2-4-5.7.2  Passage  through  the  collision  bulkhead 
a. Pipes passing through the collision bulkhead below the freeboard deck are to be fitted with suitable valves operable from above the freeboard deck. These valves are to be of steel, bronze or other approved ductile material. Valves of ordinary cast iron or similar material are not acceptable
b. The remote operation device of the valve referred to in item a) is to include an indicator to show whether the valve is open or shut.</t>
  </si>
  <si>
    <t>C-1-10-9.4.3
a. Air pipes and sounding pipes led through refrigerated cargo holds or spaces are to be suitably insulated.
b. When sounding, air and overflow pipes made of steel are permitted to pass through ballast tanks or fuel oil tanks, they are to be of reinforced thickness, in accordance with  Tab 6.
c. Sounding, air and overflow pipes passing through cargo holds are to be adequately protected.</t>
  </si>
  <si>
    <t xml:space="preserve">C-1-2-3.3.1 Trays fitted with means of drainage are to be provided in way of the lower part of the crankcase and, in general, in way of the parts of the engine, where oil is likely to spill in order to collect the fuel oil or lubricating oil dripping from the engine.
See also C-1-10-5.9
</t>
  </si>
  <si>
    <t>C-1-2-3.3.1 Trays fitted with means of drainage are to be provided in way of the lower part of the crankcase and, in general, in way of the parts of the engine, where oil is likely to spill in order to collect the fuel oil or lubricating oil dripping from the engine.
See also C-1-10-5.9</t>
  </si>
  <si>
    <t xml:space="preserve"> </t>
  </si>
  <si>
    <t>C-1-2-2.3.2  Ventilation and drainage
Ventilation of crankcase , and any arrangement which could produce a flow of external air within the crankcase , is in principle not permitted.
Vent pipes, where provided, are to be as small as practicable. If provision is made for the forced extraction of gases from the crankcase  (e.g. for detection of explosive mixtures), the vacuum in the crankcase  is not to exceed:
2,5 10-4 MPa
To avoid interconnection between crankcases and the possible spread of fire following an explosion, crankcase ventilation pipes and oil drain pipes for each engine are to be independent of any other engine.</t>
  </si>
  <si>
    <t>2-4-5.4.2  Design of valves and accessories
a. Materials of valve and accessory bodies are to comply with the provisions of [1.6]
b. Connections of valves and accessories with pipes are to respect the same rules as for connections between pipes
c. All valves and accessories are to be so designed as to prevent the loosening of covers and glands when they are operated
d. Valves are to be so designed as to shut with a right-hand (clockwise) motion of the wheels
e. Valves are  to be provided with local indicators showing whether  they  are  open  or  shut , unless this is readily apparent.</t>
  </si>
  <si>
    <t>2-6-2.5.2  Remote control of valves
a. Every fuel oil pipe which, if damaged, would allow oil to escape from a storage, settling or daily service tank having a capacity of 500 l and above situated above the double bottom, is to be fitted with a cock or valve directly on the tank capable of being closed from a safe position outside the space in which such tanks are situated in the event of a fire occurring in such space.
b. Such valves and cocks are  also to include local control. Indicators are  to be provided on the remote and local controls to show whether  they  are  open  or  shut . Where quick-closing valves are  used, the indicators for remote controls may be omitted
c. Where fuel oil tanks are situated outside boiler and machinery spaces, the remote control required in item a) may be transferred to a valve located inside the boiler or machinery spaces on the suction pipes from these tanks
d. In the special case of deep tanks situated in any shaft or pipe tunnel or similar space, valves are to be fitted on the tank but control in the event of fire may be effected by means of an additional valve on the pipe or pipes outside the tunnel or similar space. If such additional valve is fitted in the machinery space it is to be operated from a position outside this space.
Note 1 :   Where the fuel oil transfer installation is designed for manual operation, suction valves from fuel oil tanks and bunkers, with the exception of daily service tanks, need not be arranged with remote controls provided they are maintained closed except during transfer operations. Such valves are, however, to be readily accessible and instruction plates are to be fitted in their vicinity specifying that they are to be kept closed except during transfer operations.</t>
  </si>
  <si>
    <t>362
380</t>
  </si>
  <si>
    <t>Oily condensates from venting pipes</t>
  </si>
  <si>
    <t>F-9-2-2.6.5  Vent pipes from engines crankcases are to be led to a venting box provided with a draining pipe connected to a suitable oily drain tank.
In accordance with NR529, [10.3.1.3], this requirement is not applicable to vent pipes from gas and dual-fuel engines crankcases for which a drip tray is to be fitted with suitable draining arrangement. Procedure covering the draining operation, the disposal of the drained oil and the cleaning of the drip tray are to be provided.</t>
  </si>
  <si>
    <t xml:space="preserve">C-1-11
3.2.1 The storage tank is to be arranged so that any leakage will be contained and prevented from making contact with heated surfaces. All pipes or other tank penetrations are to be provided with manual closing valves attached to the tank. Tank and piping arrangements are to be approved.
3.2.2 The storage tank may be located in the engine room.
3.2.3 Each urea storage tank is to be provided with temperature and level monitoring arrangements. High and low level alarms together with high and low temperature alarms are also to be provided.
3.2.4 Where urea based ammonia solution is stored in integral tanks, these tanks are to be coated with appropriate anti-corrosion coating and are not to be located adjacent to any fuel oil or fresh water tank.
3.2.5 Urea storage tanks are to be arranged so that they can be emptied of urea and ventilated by means of portable or permanent systems.                                                                                            
</t>
  </si>
  <si>
    <t>C-1-11
3.3.1 If a urea storage tank is installed in a closed compartment, the area is to be served by an effective mechanical ventilation system of the extraction type providing not less than 6 air changes per hour. This ventilation system is to be independent from the ventilation systems of accommodation, service spaces, or control stations. The ventilation system is to be capable of being controlled from outside the compartment. A warning notice requiring the use of such ventilation before entering the compartment is to be provided outside the compartment adjacent to each point of entry.
Alternatively, where a urea storage tank is located within an engine room, a separate ventilation system is not required when the general ventilation system for the space is arranged so as to provide an effective movement of air in the vicinity of the storage tank and is maintained in operation continuously except when the storage tank is empty and has been thoroughly ventilated.
3.3.2 The requirements specified in [3.3.1] also apply to closed compartments normally entered:
when they are adjacent to the urea integral tanks and there are possible leak points (e.g. manhole, fittings) from these tanks; or
when the urea piping systems pass through these compartments, unless the piping system is made of steel or other equivalent material with melting point above 925°C and with fully welded joints.</t>
  </si>
  <si>
    <t>Ventilation</t>
  </si>
  <si>
    <t>C-1-11
3.4.1 The reductant piping and venting systems are to be independent of other ship service piping and/or systems. Reductant piping systems are not to be located in accommodation, service spaces, or control stations. The vent pipes of the storage tank are to terminate in a safe location on the weather deck and the tank venting system is to be arranged to prevent entrance of water into the urea tank.</t>
  </si>
  <si>
    <t xml:space="preserve">C-1-11
3.5.1 Reductant tanks are to be of steel or other equivalent material with a melting point above 925°C. Pipes/piping systems are to be of steel or other equivalent material with melting point above 925°C, except downstream of the tank valve, provided this valve is metal seated and arranged as fail-to-closed or with quick closing from a safe position outside the space in the event of fire. In such case, type approved plastic piping may be accepted even if it has not passed a fire endurance test.
Reductant tanks and pipes/piping systems are to be made with a material compatible with the reductant or coated with appropriate anti-corrosion coating.
Copper is to be avoided for equipment and piping systems in contact with fluids containing ammonia.
</t>
  </si>
  <si>
    <t>Number and capacity of air compressors</t>
  </si>
  <si>
    <t>Number and capacity of air receivers</t>
  </si>
  <si>
    <t>2-7-6.3.3  Number and capacity of air receivers
Where main engines are arranged for starting  by compressed air , at least two air  receivers are to be fitted, each one with a capacity sufficient to provide without replenishment the number of starts required in [6.3.1]. It is also to take into account the air  delivery to other consumers, such as control systems, whistle, etc., which are connected to the air  receiver.
Ships specified in Sec 1, [1.1.2] may be fitted with only one air receiver with capacity mentioned above</t>
  </si>
  <si>
    <t>2-7-6.3.1  Number and capacity of air compressors
Where main and auxiliary engines are arranged for starting  by compressed air , one or more power operated air  compressors is/are to be fitted with a total capacity sufficient to supply within one hour the quantity of air  needed to satisfy the following provisions:
a. The total capacity of the compressed air  available for starting  purpose is to be sufficient to provide, without replenishment, not less than 12 consecutive starts alternating between ahead and astern of each main engine of the reversible type, and not less than 6 consecutive starts of each main non-reversible type engine connected to a controllable pitch propeller or other device enabling the start without opposite torque.
The number of starts refers to the engine in cold and ready-to-start condition (all the driven equipment that cannot be disconnected is to be taken into account).
A greater number of starts may be required when the engine is in warm running condition.
At least 3 consecutive starts is to be possible for each engine driving electric generators and engines for other purposes.
The capacity of a starting system serving two or more of the above specified purposes is to be the sum of the capacity requirements.
b. For multi-engine propulsion plants, the capacity of the starting  air  receivers is to be sufficient to ensure at least 3 consecutive starts per engine. However, the total capacity is not to be less than 12 starts and need not exceed 18 starts.</t>
  </si>
  <si>
    <t>2-7-6.1.1 The present Article applies to compressed air systems intended for essential services, and in particular to:
 - starting of engines
 - control and monitoring of the essential services
 - air whistle.</t>
  </si>
  <si>
    <t>2-7-6.2.1  General
a. As a rule, compressed air systems are to be so designed that the compressed air delivered to the consumers:
 - is free from oil and water, as necessary
 - does not have an excessive temperature.
b. Compressed air systems are to be so designed as to prevent overpressure in any part of the systems
c. Compressed air receivers are to comply with the requirements of NR467 Steel Ships, Pt C, Ch 1, Sec 3, regarding pressure vessels.</t>
  </si>
  <si>
    <t>2-7-6.2.2  Availability
Compressed air  systems are to be so designed that, in the event of failure of the main air  compressor intended for starting , control purposes or other essential services, such services can be restored rapidly.</t>
  </si>
  <si>
    <t>Air supply</t>
  </si>
  <si>
    <t>2-7-6.4.1  
a. At least one dedicated air vessel fitted with a non-return valve is to be provided for control and monitoring purposes
b. Failure of the control air supply is not to cause any sudden change of the controlled equipment which may be detrimental to the safety of the ship
c. When a pressure reducing valve is fitted then requirements of Sec 4, [1.3.2], item c) apply
d. Pressure reduction units used in control and monitoring air system intended for essential services are to be duplicated unless alternative means is provided to keep the essential services operable
e. If only one air vessel is fitted on the air system supplying the air whistle, then an electrical air whistle is to be added.</t>
  </si>
  <si>
    <t>Pressure control</t>
  </si>
  <si>
    <t>2-7-6.4.2  Arrangements are to be made to maintain the air pressure at a suitable value in order to ensure satisfactory operation of the installation.</t>
  </si>
  <si>
    <t>2-7-6.4.3  In addition to the provisions of [6.7.3], arrangements are to be made to ensure cooling, filtering and drying of the air prior to its introduction in the monitoring and control circuits.</t>
  </si>
  <si>
    <t>Air treatment</t>
  </si>
  <si>
    <t>Air compressor - Prevention of overpressure</t>
  </si>
  <si>
    <t>Air compressor - Provision for draining</t>
  </si>
  <si>
    <t>2-7-6.5.1  
a. Air compressor is to be fitted with a relief valve complying with Sec 4, [5.2.4]
b. Means are to be provided to prevent overpressure wherever water jackets or casings of air compressors may be subjected to dangerous overpressure due to leakage from air pressure parts
c. Water space casings of intermediate cooler of air compressor are to be protected against any overpressure which might occur in the event of rupture of air cooler tubes.</t>
  </si>
  <si>
    <t>2-7-6.5.2  Air compressors are to be fitted with a drain valve.</t>
  </si>
  <si>
    <t>2-7-6.6.1  Alarms and safeguards are to be provided for compressed air systems with the following:
 - low and high air pressure alarm after reducing valves
 - low and high air vessel pressure.</t>
  </si>
  <si>
    <t>2-7-6.6.2  Automatic pressure control is to be provided for maintaining the air pressure in the air receivers within the required limits.</t>
  </si>
  <si>
    <t>Prevention of overpressure</t>
  </si>
  <si>
    <t>2-7-6.7.1  Suitable pressure relief arrangements are to be provided for all systems.</t>
  </si>
  <si>
    <t>2-6-1.3.1 Materials and details
Materials used for piping and equipment as well as general details are to be in compliance with Sec 4.
Materials and/or the surface treatment used for the storage and distribution of fuel oil are to be selected such that they do not introduce contamination or modify the properties of fuel.</t>
  </si>
  <si>
    <t>2-7-6.2.2  
Compressed air systems are to be so designed that, in the event of failure of the main air compressor intended for starting, control purposes or other essential services, such services can be restored rapidly.</t>
  </si>
  <si>
    <t>2-7-6.3.1
Where main and auxiliary engines are arranged for starting by compressed air, one or more power operated air compressors is/are to be fitted with a total capacity sufficient to supply within one hour the quantity of air needed to satisfy the following provisions:
a.  The total capacity of the compressed air available for starting purpose is to be sufficient to provide, without replenishment, not less than 12 consecutive starts alternating between ahead and astern of each main engine of the reversible type, and not less than 6 consecutive starts of each main non-reversible type engine connected to a controllable pitch propeller or other device enabling the start without opposite torque.
The number of starts refers to the engine in cold and ready-to-start condition (all the driven equipment that cannot be disconnected is to be taken into account).
A greater number of starts may be required when the engine is in warm running condition.
At least 3 consecutive starts is to be possible for each engine driving electric generators and engines for other purposes.
The capacity of a starting system serving two or more of the above specified purposes is to be the sum of the capacity requirements.
b.  For multi-engine propulsion plants, the capacity of the starting air receivers is to be sufficient to ensure at least 3 consecutive starts per engine. However, the total capacity is not to be less than 12 starts and need not exceed 18 starts.</t>
  </si>
  <si>
    <t>C-1-10-17.3.1  
a.  The total capacity of the compressed air available for starting purpose is to be sufficient to provide, without replenishment, not less than 12 consecutive starts alternating between ahead and astern of each main engine of the reversible type, and not less than 6 consecutive starts of each main non-reversible type engine connected to a controllable pitch propeller or other device enabling the start without opposite torque.
At least 3 consecutive starts is to be possible for each engine driving electric generators and engines for other purposes. The capacity of a starting system serving two or more of the above specified purposes is to be the sum of the capacity requirements.
b.  For multi-engine propulsion plants, the capacity of the starting air receivers is to be sufficient to ensure at least 3 consecutive starts per engine. However, the total capacity is not to be less than 12 starts and need not exceed 18 starts.
Regardless of the above, for any other specific installation the number of starts may be specially considered by the Society and depending upon the arrangement of the engines and the transmission of their output to the propellers in each particular case.</t>
  </si>
  <si>
    <t>Air supply for starting the main and auxiliary engines</t>
  </si>
  <si>
    <t>C-1-10-17.3.2  
a.  Where main and auxiliary engines are arranged for starting by compressed air, two or more air compressors are to be fitted with a total capacity sufficient to supply within one hour the quantity of air needed to satisfy the provisions of [17.3.1] charging the receivers from atmospheric pressure. This capacity is to be approximately equally divided between the number of compressors fitted, excluding the emergency compressor fitted in pursuance of item c) below.
b.  At least one of the compressors is to be independent of the engines for which starting air is supplied and is to have a capacity of not less than 50% of the total required in item a).
c. Where, for the purpose of [17.2.2], an emergency air compressor is fitted, this unit is to be power driven by internal combustion engine, electric motor or steam engine.
Suitable hand starting arrangement or independent electrical starting batteries may be accepted. In the case of small installations, a hand-operated compressor of approved capacity may be accepted.</t>
  </si>
  <si>
    <t>2-7-6.3.2
The compressed air system for starting the main and auxiliary engines for essential services is to be so arranged that the initial charge of starting air can be developed on board ship without external aid. For this purpose, the following arrangements could be accepted:
 - where two electrical power operated air compressors are fitted in accordance with [6.3.1], the supply of one of them is by the emergency electric source of supply, or
 - the presence of a diesel driven operated emergency air compressor started manually, or
 - the presence of a manual compressor, or
 - the presence of manual means of starting of the engine, or
 - the presence of an additional electrical starting system.
Other arrangements will be reviewed on a case by case basis. In all cases, any emergency means of starting shall be capable of at least three consecutive starts of the engine within 1 hour and enabling the ship to regain propulsion and essential services.</t>
  </si>
  <si>
    <t>Initial charge of starting air</t>
  </si>
  <si>
    <t>C-1-10-17.3.3
Where main engines are arranged for starting by compressed air, at least two air receivers are to be fitted of approximately equal capacity and capable of being used independently.
The total capacity of air receivers is to be sufficient to provide without replenishment the number of starts required in [17.3.1]. When other users such as auxiliary engine starting systems, control systems, whistle, etc. are connected to the starting air receivers, their air consumption is also to be taken into account.
Compressed air receivers are to comply with the requirements of Ch 1, Sec 3.</t>
  </si>
  <si>
    <t>2-7-6.3.3
Where main engines are arranged for starting by compressed air, at least two air receivers are to be fitted, each one with a capacity sufficient to provide without replenishment the number of starts required in [6.3.1]. It is also to take into account the air delivery to other consumers, such as control systems, whistle, etc., which are connected to the air receiver.
Ships specified in Sec 1, [1.1.2] may be fitted with only one air receiver with capacity mentioned above.</t>
  </si>
  <si>
    <t>Air supply for starting the emergency generating set</t>
  </si>
  <si>
    <t>2-7-6.3.4
If the ship is fitted with an emergency generator set and if one of its means of starting is by compressed air, the following is to be complied with:
a.  the starting air arrangement is to include a compressed air vessel, storing the energy dedicated only for starting of the emergency generator. The capacity of the compressed air available for starting purpose is to be sufficient to provide, without replenishment, at least three consecutive starts
b.  the compressed air starting systems may be maintained by the main or auxiliary compressed air receivers through a non-return valve fitted in the emergency generator space, or by an emergency air compressor which, if electrically driven, is supplied from the emergency switchboard
c.  all of these starting, charging and energy storing devices are to be located in the emergency generator space and is not to be used for any purpose other than the operation of the emergency generating set.</t>
  </si>
  <si>
    <t>C-1-10-17.3.4  Air supply for starting the emergency generating set
Where starting air arrangement is one of two independent means of starting required in Ch 1, Sec 2, [3.1.3] for the emergency generator, the following is to be complied with:
a.  The starting air arrangement is to include a compressed air vessel, storing the energy dedicated only for starting of the emergency generator. The capacity of the compressed air available for starting purpose is to be sufficient to provide, without replenishment, at least three consecutive starts.
b.  The compressed air starting systems may be maintained by the main or auxiliary compressed air receivers through a non-return valve fitted in the emergency generator space, or by an emergency air compressor which, if electrically driven, is supplied from the emergency switchboard.
c.  All of these starting, charging and energy storing devices are to be located in the emergency generator space and is not to be used for any purpose other than the operation of the emergency generating set.</t>
  </si>
  <si>
    <t>2-7-6.4.1
At least one dedicated air vessel fitted with a non-return valve is to be provided for control and monitoring purposes
Failure of the control air supply is not to cause any sudden change of the controlled equipment which may be detrimental to the safety of the ship
When a pressure reducing valve is fitted then requirements of Sec 4, [1.3.2], item c) apply
Pressure reduction units used in control and monitoring air system intended for essential services are to be duplicated unless alternative means is provided to keep the essential services operable
If only one air vessel is fitted on the air system supplying the air whistle, then an electrical air whistle is to be added.</t>
  </si>
  <si>
    <t>2-7-6.4.2
Arrangements are to be made to maintain the air pressure at a suitable value in order to ensure satisfactory operation of the installation.</t>
  </si>
  <si>
    <t>2-7-6.4.3
In addition to the provisions of [6.7.3], arrangements are to be made to ensure cooling, filtering and drying of the air prior to its introduction in the monitoring and control circuits.</t>
  </si>
  <si>
    <t>C-1-10-17.4.1
a.  The control and monitoring air supply to essential services is to be available from two sources of a sufficient capacity to allow normal operation with one source out of service.
b.  At least one air vessel fitted with a non-return valve is to be dedicated for control and monitoring purposes, unless the installation is provided with local independent mechanical control and a means for communication with the wheelhouse is permanently fitted at position of local control. For notation   AUT, see also Pt F, Ch 3, Sec 4, [5.2.2].
c.  Pressure reduction units used in control and monitoring air systems intended for essential services are to be duplicated, unless an alternative air supply is provided.
d.  Failure of the control air supply is not to cause any sudden change of the controlled equipment which may be detrimental to the safety of the ship.</t>
  </si>
  <si>
    <t>C-1-10-17.4.2
Arrangements are to be made to maintain the air pressure at a suitable value in order to ensure satisfactory operation of the installation.</t>
  </si>
  <si>
    <t>C-1-10-17.4.3
In addition to the provisions of [17.8.3], arrangements are to be made to ensure cooling, filtering and drying of the air prior to its introduction in the monitoring and control circuits.</t>
  </si>
  <si>
    <t>2-7-6.6.1
Alarms and safeguards are to be provided for compressed air systems with the following:
 - low and high air pressure alarm after reducing valves
 - low and high air vessel pressure.</t>
  </si>
  <si>
    <t>C-1-10-17.6.1
Alarms and safeguards are to be provided for compressed air systems with the following:
 - Air pressure after reducing valves - L+H - local
 - Starting air pressure before main shut-off valve - L - local + remote (1)
 - Air vessel pressure - L</t>
  </si>
  <si>
    <t>2-7-6.7.2  
a.  Provisions are to be made to reduce to a minimum the entry of oil into air pressure systems
b.  Air compressor is to be located in spaces provided with sufficient ventilation.</t>
  </si>
  <si>
    <t>Air supply to compressors</t>
  </si>
  <si>
    <t>Air treatment and draining</t>
  </si>
  <si>
    <t>2-7-6.7.3  
a.  Provisions are be made to drain air pressure systems
b.  Efficient oil and water separators, or filters, are to be provided on the discharge of compressors, and drains are to be installed on compressed air pipes wherever deemed necessary.</t>
  </si>
  <si>
    <t>2-7-6.7.4  All discharge pipes from starting air compressors are to be lead directly to the starting air receivers, and all starting pipes from the air receivers to main or auxiliary engines are to be entirely separate from the compressor discharge pipe system.</t>
  </si>
  <si>
    <t>Lines between compressors, receivers and engines</t>
  </si>
  <si>
    <t>Protective devices for starting air mains</t>
  </si>
  <si>
    <t>2-7-6.7.5  
Non-return valves and other safety devices are to be provided on the starting air mains of each engine in accordance with the following provisions:
a.  The main starting air arrangements for main propulsion or auxiliary diesel engines are to be adequately protected against the effects of backfiring and internal explosion in the starting air pipes. To this end, the following safety devices are to be fitted:
 - an isolating non-return valve, or equivalent, at the starting air supply connection to each engine
 - a bursting disc or flame arrester:
    - in way of the starting valve of each cylinder, for direct reversing engines having a main starting air manifold
    - at least at the supply inlet ta the starting air manifold, for non-reversing engines.
The bursting disc or flame arrester above may be omitted for engines having a bore not exceeding 230 mm.
Other protective devices are to be specially considered by the Society.
The requirements of item a) do not apply to engines started by pneumatic motors.</t>
  </si>
  <si>
    <t>C-1-10-17.8.2  Air supply to compressors
a.  Provisions are to be made to reduce to a minimum the entry of oil into air pressure systems.
b.  Air compressors are to be located in spaces provided with sufficient ventilation.</t>
  </si>
  <si>
    <t>C-1-10-17.8.3
a.  Provisions are be made to drain air pressure systems.
B.  Efficient oil and water separators, or filters, are to be provided on the discharge of compressors, and drains are to be installed on compressed air pipes wherever deemed necessary.</t>
  </si>
  <si>
    <t>C-1-10-17.8.4  All discharge pipes from starting air compressors are to be lead directly to the starting air receivers, and all starting pipes from the air receivers to main or auxiliary engines are to be entirely separate from the compressor discharge pipe system.</t>
  </si>
  <si>
    <t>C-1-10-17.8.5  Protective devices for starting air mains
Non-return valves and other safety devices are to be provided on the starting air mains of each engine in accordance with the provisions of Ch 1, Sec 2, [3.1.1].</t>
  </si>
  <si>
    <t>C-1-10-17.8.1  Suitable pressure relief arrangements are to be provided for all systems.</t>
  </si>
  <si>
    <t>C-1-10-17.6.2  Automatic pressure control is to be provided for maintaining the air pressure in the air receivers within the required limits.</t>
  </si>
  <si>
    <t>Protection against frosting</t>
  </si>
  <si>
    <t>a.  Pipes are to be efficiently protected against corrosion, particularly in their most exposed parts, either by selection of their constituent materials, or by an appropriate coating or treatment.
b.  The layout and arrangement of sea water pipes are to be such as to prevent sharp bends and abrupt changes in section as well as zones where water may stagnate. The inner surface of pipes is to be as smooth as possible, especially in way of joints. Where pipes are protected against corrosion by means of galvanising or other inner coating, arrangements are to be made so that this coating is continuous, as far as possible, in particular in way of joints.
c.  If galvanised steel pipes are used for sea water systems, the water velocity  is not to exceed 3 m/s.
d.  If copper pipes are used for sea water systems, the water velocity  is not to exceed 2 m/s.
e.  Arrangements are to be made to avoid galvanic corrosion.
f.  If aluminium bras pipes are used for sea water systems, the water velocity  is not to exceed 3 m/s
g.  If 90/10 copper-nickel-iron pipes are used for sea water systems, the water velocity  is not to exceed 3,5 m/s
h.  If 70/30 copper-nickel pipes are used for sea water systems, the water velocity  is not to exceed 5 m/s
i.  If GRP pipes are used for sea water systems, the water velocity  is not to exceed 5 m/s.</t>
  </si>
  <si>
    <t>Pipes are to be adequately insulated against cold wherever deemed necessary to prevent frost. This applies specifically to pipes passing through refrigerated spaces and which are not intended to ensure the refrigeration of such spaces.</t>
  </si>
  <si>
    <t>a.  All pipes and other components where the temperature may exceed 220°C are to be efficiently insulated. Where necessary, precautions are to be taken to protect the insulation from being impregnated with flammable oils.
b.  Particular attention is to be paid to lagging in way of flanges.</t>
  </si>
  <si>
    <t>a.  Pipes are to be efficiently protected against corrosion, particularly in their most exposed parts, either by selection of their constituent materials, or by an appropriate coating or treatment
b.  The layout and arrangement of sea water pipes are to be such as to prevent sharp bends and abrupt changes in section as well as zones where water may stagnate. The inner surface of pipes is to be as smooth as possible, especially in way of joints. Where pipes are protected against corrosion by means of galvanising or other inner coating, arrangements are to be made so that this coating is continuous, as far as possible, in particular in way of joints
c.  If galvanised steel pipes are used for sea water systems, the water velocity  is not to exceed 3 m/s
d.  If copper pipes are used for sea water systems, the water velocity  is not to exceed 2 m/s
e.  Arrangements are to be made to avoid galvanic corrosion.</t>
  </si>
  <si>
    <t>a.  All pipes and other components where the temperature may exceed 80°C are to be efficiently insulated. Where necessary, precautions are to be taken to protect the insulation from being impregnated with flammable oils.
b.  Particular attention is to be paid to lagging in way of flanges.</t>
  </si>
  <si>
    <t>Limitation of exhaust line surface temperature</t>
  </si>
  <si>
    <t xml:space="preserve">C-1-10-18.2.2  
a.  Exhaust gas pipes and silencers are to be either water cooled or efficiently insulated where:
their surface temperature may exceed 220°C, or
they pass through spaces of the ship where a temperature rise may be dangerous.
b.  The insulation of exhaust systems is to comply with the provisions of Ch 1, Sec 1, [3.7.1].
</t>
  </si>
  <si>
    <t>a.  Exhaust gas pipes and silencers are to be either water cooled or efficiently insulated where:
 - their surface temperature may exceed 220°C, or
 - they pass through spaces of the ship where a temperature rise may be dangerous.
b.  The insulation of exhaust systems is to comply with the provisions of Sec 1, [3.7.1]
c.  If not oil-proof, the insulating material may be covered with an oil-proof material. If foamed plastic is used, it must be of a closed-cell type, resistant to oil, grease and be fire-resistant.</t>
  </si>
  <si>
    <t>E-4-3-4.3.1 The maximum design water velocity is not normally to exceed 4 m/s in the piping between pumps and water monitors. Higher velocity may however be accepted on a case-by-case basis and provided the concerned pipe length remains as short as possible.</t>
  </si>
  <si>
    <t>Maximum design water velocity</t>
  </si>
  <si>
    <t>623</t>
  </si>
  <si>
    <t>Nitrogen system</t>
  </si>
  <si>
    <t>Safe locations for venting inert gas or nitrogen  product enriched air</t>
  </si>
  <si>
    <t>Safe locations for venting Oxygen-enriched air</t>
  </si>
  <si>
    <t>C-1-13-2.9 table 6
 - Not within 3 m of areas traversed by personnel
 - Not within 6 m of air intakes for machinery (engines and boilers) and all ventilation inlets/outlets.</t>
  </si>
  <si>
    <t>C-1-13-2.9 table 6
 - Outside of hazardous area
 - Not within 3 m of any source of ignition and from deck machinery, which may include anchor windlass and chain locker openings, and equipment which may constitute an ignition hazard
 - Not within 3 m of areas traversed by personnel
 - Not within 6 m of air intakes for machinery (engines and boilers) and all ventilation inlets.</t>
  </si>
  <si>
    <t>630</t>
  </si>
  <si>
    <t>631</t>
  </si>
  <si>
    <t>632</t>
  </si>
  <si>
    <t>633</t>
  </si>
  <si>
    <t>634</t>
  </si>
  <si>
    <t>635</t>
  </si>
  <si>
    <t>636</t>
  </si>
  <si>
    <t>639</t>
  </si>
  <si>
    <t>640</t>
  </si>
  <si>
    <t>Cargo handling system</t>
  </si>
  <si>
    <t>Cargo alarm / monitoring system</t>
  </si>
  <si>
    <t>Tank cleaning system</t>
  </si>
  <si>
    <t>Cargo (tank) heating system</t>
  </si>
  <si>
    <t>Cargo cooling / freezing system</t>
  </si>
  <si>
    <t>Cargo inerting systems</t>
  </si>
  <si>
    <t>Cargo tanks (loose)</t>
  </si>
  <si>
    <t>Other cargo systems</t>
  </si>
  <si>
    <t>Oil pollution control</t>
  </si>
  <si>
    <t>C-4-15-13.1.1 For the purposes of this Article:
a.  Cargo tanks means those cargo tanks, including slop tanks, which carry cargoes, or cargo residues, having a flashpoint not exceeding 60ºC.
b.  Inert gas system includes inert gas systems using flue gas, inert gas generators, and nitrogen  generators and means the inert gas plant and inert gas distribution together with means for preventing backflow of cargo gases to machinery spaces, fixed and portable measuring instruments and control devices.
c.  Gas-safe space is a space in which the entry of gases would produce hazards with regard to flammability or toxicity.
d.  Gas-free is a condition in a tank where the content of hydrocarbon or other flammable vapour is less than 1% of the lower flammable limit (LFL), the oxygen content is at least 21%, and no toxic gases are present.
Note 1 :   Refer to the Revised recommendations for entering enclosed spaces aboard ships (IMO resolution A.1050(27)).</t>
  </si>
  <si>
    <t>C-4-15-13.2.1
The inert gas supply may be:
1.  treated flue gas from main or auxiliary boilers, or
2.  gas from an oil or gas-fired gas generator, or
3.  gas from nitrogen  generators.</t>
  </si>
  <si>
    <t>Safety measures</t>
  </si>
  <si>
    <t>System components - Non-return devices</t>
  </si>
  <si>
    <t>System components - Inert gas lines</t>
  </si>
  <si>
    <t>Indicators and alarms</t>
  </si>
  <si>
    <t>C-4-15-13.2.4.a   The operation status of the inert gas system shall be indicated in a control panel.
The operational status of the inert gas system is to be based on indication that inert gas is being supplied downstream of the gas regulating valve and on the pressure or flow of the inert gas mains downstream of the non-return devices. However, the operational status of the inert gas system is not to be considered to require additional indicators and alarms other than those specified in this requirement and [13.3.3] or [13.4.3], as appropriate.</t>
  </si>
  <si>
    <t>Audible and visual alarms</t>
  </si>
  <si>
    <t>Instruction manuals</t>
  </si>
  <si>
    <t>C-4-15-13.2.4.b   Instrumentation shall be fitted for continuously indicating and permanently recording, when inert gas is being supplied:
1.  the pressure of the inert gas mains downstream of the non-return devices; and
2.  the oxygen content of the inert gas.</t>
  </si>
  <si>
    <t xml:space="preserve">C-4-15-13.2.4.c   The indicating and recording devices shall be placed in the cargo control room where provided. But where no cargo control room is provided, they shall be placed in a position easily accessible to the officer in charge of cargo operations.
</t>
  </si>
  <si>
    <t xml:space="preserve">C-4-15-13.2.4.d   In addition, meters shall be fitted:
1.  in the navigating bridge to indicate at all times the pressure referred to in item b) 1) and the pressure in the slop tanks of combination carriers, whenever those tanks are isolated from the inert gas main; and
2.  in the machinery control room or in the machinery space to indicate the oxygen content referred to in item b) 2).
</t>
  </si>
  <si>
    <t xml:space="preserve">C-4-15-13.2.4.e.1   Audible and visual alarms shall be provided, based on the system designed, to indicate:
 - oxygen content in excess of 5% by volume (see also item e) 2));
 - failure of the power supply to the indicating devices as referred to in item b);
 - gas pressure less than 100 mm water gauge. The alarm arrangement shall be such as to ensure that the pressure in slop tanks in combination carriers can be monitored at all times (see also item e) 2));
 - high-gas pressure; and
 - failure of the power supply to the automatic control system (see also item e) 2)).
</t>
  </si>
  <si>
    <t xml:space="preserve">C-4-15-13.2.4.e.2   The alarms required in item e) 1) for:
 - oxygen content
 - gas pressure less than 100 mm water gauge, and
 - failure of the power supply to the automatic control system,
shall be fitted in the machinery space and cargo control room, where provided, but in each case in such a position that they are immediately received by responsible members of the crew.
</t>
  </si>
  <si>
    <t xml:space="preserve">C-4-15-13.2.4.e.  An audible alarm system independent of that required in item e) 1) for gas pressure less than 100 mm water gauge, or automatic shutdown of cargo pumps shall be provided to operate on predetermined limits of low pressure in the inert gas main being reached.
The term "alarm system independent" means that a second pressure sensor, independent of the sensor serving the alarms for low pressure, high pressure and pressure indicator/recorder should be provided. Notwithstanding the above, a common programmable logic controller (PLC) should, however, be accepted for the alarms in the control system. The independent sensor should not be required if the system is arranged for the shutdown of cargo pumps. If a system for shutdown of cargo pumps is arranged, an automatic system shutting down all cargo pumps should be provided. The shutdown should be alarmed at the control station. The shutdown should not prevent the operation of ballast pumps or pumps used for bilge drainage of a cargo pump room.
</t>
  </si>
  <si>
    <t xml:space="preserve">C-4-15-13.2.4.e.4   Two oxygen sensors shall be positioned at appropriate locations in the space or spaces containing the inert gas system. If the oxygen level falls below 19%, these sensors shall trigger alarms, which shall be both visible and audible inside and outside the space or spaces and shall be placed in such a position that they are immediately received by responsible members of the crew.
</t>
  </si>
  <si>
    <t>C-4-15-13.2.5   Detailed instruction manuals shall be provided on board, covering the operations, safety and maintenance requirements and occupational health hazards relevant to the inert gas system and its application to the cargo tank system.
Note 1 :   Refer to the Revised Guidelines for inert gas systems (MSC/Circ.353), as amended by MSC/Circ.387.
The manuals shall include guidance on procedures to be followed in the event of a fault or failure of the inert gas system.</t>
  </si>
  <si>
    <t>RINA Rules</t>
  </si>
  <si>
    <t>C-1-7-6.14.1   The equipment is to be capable of producing inert gas with
oxygen content at no time greater than 5% by volume. A continuous-reading oxygen content meter is to be fitted to the inert gas supply from the equipment and is to be fitted with an alarm set at a maximum of 5% oxygen content by volume.</t>
  </si>
  <si>
    <t>C-1-7-6.14.2   An inert gas system is to have pressure controls and monitoring arrangements appropriate to the fuel containment system.</t>
  </si>
  <si>
    <t>C-1-7-6.14.3   Where a nitrogen generator or nitrogen storage facilities are installed in a separate compartment outside of the engineroom, the separate compartment is to be fitted with an independent mechanical extraction ventilation system, providing a minimum of 6 air changes per hour. A low oxygen alarm is to be fitted.</t>
  </si>
  <si>
    <t>C-4-1-8.2.1   For tankers (including chemical carriers and gas carriers) of
8,000 tonnes deadweight and upwards, cargo tanks are to be protected by a fixed inert gas system in accordance with the requirements of [9], except that, for tankers of less than 20,000 tonnes deadweight in lieu of the fixed installations required in [9] the Society, after having given consideration to the ship's arrangement and equipment, may accept other
equivalent arrangements or means of protection in accordance with [8.3].</t>
  </si>
  <si>
    <t>C-4-1-8.2.2   Tankers operating with a cargo tank cleaning procedure using crude oil washing are to be fitted with an inert gas system complying with the requirements of [9] and with fixed tank washing machines.</t>
  </si>
  <si>
    <t>C-4-1-8.2.3   Tankers required to be fitted with inert gas systems are to
comply with the following provisions:
a) double hull spaces are to be fitted with suitable connections for the supply of inert gas
b) where hull spaces are connected to a permanently fitted inert gas distribution system, means are to be provided to prevent hydrocarbon gases from the cargo tanks entering the double hull space through the system and
c) where such spaces are not permanently connected to an inert gas distribution system, appropriate means are to be provided to allow connection to the inert gas main.</t>
  </si>
  <si>
    <t>Application - Cargo tank cleaning procedure</t>
  </si>
  <si>
    <t>Application - Compliance with provisions</t>
  </si>
  <si>
    <t>Application - Not applicable for</t>
  </si>
  <si>
    <t>Engineering specifications - Definitions</t>
  </si>
  <si>
    <t>C-4-1-9.2.1   For the purposes of this item [9], the following definitions
apply:
a) Cargo tanks means those cargo tanks, including slop tanks, which carry cargoes, or cargo residues, having a flashpoint not exceeding 60ºC.
b) Inert gas system includes inert gas systems using flue gas, inert gas generators, and nitrogen generators and means the inert gas plant and inert gas distribution together with means for preventing backflow of cargo gases to machinery spaces, fixed and portable measuring instruments and control devices.
c) Gas-safe space is a space in which the entry of gases would produce hazards with regard to flammability or toxicity.
d) Gas-free is a condition in a tank where the content of hydrocarbon or other flammable vapour is less than 1% of the lower flammable limit (LFL), the oxygen content is at least 21%, and no toxic gases are present.</t>
  </si>
  <si>
    <t>Requirements - General</t>
  </si>
  <si>
    <t>C-4-1-9.3.1.b   The system is to be capable of:
1) inerting empty cargo tanks and maintaining the
atmosphere in any part of the tank with an oxygen
content not exceeding 8% by volume and at a
positive pressure in port and at sea except when it is
necessary for such a tank to be gas-free;
2) eliminating the need for air to enter a tank during
normal operations except when it is necessary for
such a tank to be gas-free;
3) purging empty cargo tanks of hydrocarbon or other
flammable vapours, so that subsequent gas-freeing
operations will at no time create a flammable
atmosphere within the tank;
4) delivering inert gas to the cargo tanks at a rate of at
least 125% of the maximum rate of discharge
capacity of the ship expressed as a volume.
For chemical tankers and chemical/product tankers,
the Society may accept inert gas systems having a
lower delivery capacity provided that the maximum
rate of discharge of cargoes from cargo tanks being
protected by the system is restricted to not more
than 80% of the inert gas capacity; and
5) delivering inert gas with an oxygen content of not
more than 5% by volume to the cargo tanks at any
required rate of flow.</t>
  </si>
  <si>
    <t>C-4-1-9.3.1.c   Materials used in inert gas systems are to be suitable for
their intended purpose. In particular, those components
which may be subjected to corrosive action of the gases
and/or liquids are to be either constructed of corrosionresistant
material or lined with rubber, glass fibre epoxy
resin or other equivalent coating material.</t>
  </si>
  <si>
    <t>C-4-1-9.3.1.d   The inert gas supply may be:
1) treated flue gas from main or auxiliary boilers, or
2) gas from an oil or gas-fired gas generator, or
3) gas from nitrogen generators.
The Society may accept systems using inert gases from one
or more separate gas generators or other sources or any
combination thereof, provided that an equivalent level of
safety is achieved. Such systems are, as far as practicable, to
comply with the requirements of this chapter. Systems using
stored carbon dioxide are not to be permitted unless the
Society is satisfied that the risk of ignition from generation
of static electricity by the system itself is minimized.</t>
  </si>
  <si>
    <t>C-4-15-13.2.3.3   Each cargo tank not being inerted shall be capable of being separated from the inert gas main by:
removing spool-pieces, valves or other pipe sections, and blanking the pipe ends; or
arrangement of two spectacle flanges in series with provisions for detecting leakage into the pipe between the two spectacle flanges; or
equivalent arrangements to the satisfaction of the Society, providing at least the same level of protection.</t>
  </si>
  <si>
    <t xml:space="preserve">C-4-15-13.2.3.4   Means shall be provided to protect cargo tanks against the effect of overpressure or vacuum caused by thermal variations and/or cargo operations when the cargo tanks are isolated from the inert gas mains.
</t>
  </si>
  <si>
    <t xml:space="preserve">C-4-15-13.2.3.5   Piping systems shall be so designed as to prevent the accumulation of cargo or water in the pipelines under all normal conditions.
</t>
  </si>
  <si>
    <t>C-4-15-13.2.3.2   The inert gas main shall be fitted with branch piping leading to the cargo tank. Branch piping for inert gas shall be fitted with either stop valves or equivalent means of control for isolating each tank. Where stop valves are fitted, they shall be provided with locking arrangements. The control system shall provide unambiguous information of the operational status of such valves to at least the control panel required in [13.2.4].
Unambiguous information of the operational status of stop valves in branch piping leading from the inert gas main to cargo tanks means position indicators providing open/intermediate/closed status information in the control panel required in [13.2.4]. Limit switches should be used to positively indicate both open and closed positions. Intermediate position status should be indicated when the valve is in neither open nor closed position.</t>
  </si>
  <si>
    <t>C-4-15-13.2.3.1   The inert gas main may be divided into two or more branches downstream of the non-return devices required by [13.2.3], item a).</t>
  </si>
  <si>
    <t>C-4-1-9.3.3.b.1   The inert gas main may be divided into two or more branches forward of the non-return devices required by [9.3.3] a).</t>
  </si>
  <si>
    <t>C-4-1-9.3.3.b.2   The inert gas main is to be fitted with branch piping leading to the cargo tank. Branch piping for inert gas is to be fitted with either stop valves or equivalent means of control for isolating each tank. Where stop valves are fitted, they are to be provided with locking arrangements. The control system is to provide unambiguous information of the operational status of such valves to at least the control panel required in [9.3.4].</t>
  </si>
  <si>
    <t>C-4-1-9.3.3.b.3   Each cargo tank not being inerted is to be capable of being separated from the inert gas main by:
• removing spool-pieces, valves or other pipe sections, and blanking the pipe ends; or
• arrangement of two spectacle flanges in series with provisions for detecting leakage into the pipe between the two spectacle flanges; or
• equivalent arrangements to the satisfaction of the Society, providing at least the same level of protection.</t>
  </si>
  <si>
    <t>C-4-1-9.3.3.b.4   Means are to be provided to protect cargo tanks against the effect of overpressure or vacuum caused by thermal variations and/or cargo operations when the cargo tanks are isolated from the inert gas mains.</t>
  </si>
  <si>
    <t>C-4-1-9.3.3.b.5   Piping systems are to be so designed as to prevent the accumulation of cargo or water in the pipelines under all normal conditions.</t>
  </si>
  <si>
    <t>C-4-15-13.2.3.a.1   At least two non-return devices shall be fitted in order to prevent the return of vapour and liquid to the inert gas plant, or to any gas-safe spaces.</t>
  </si>
  <si>
    <t>C-4-15-13.2.3.a.2   The first non-return device shall be a deck seal of the wet, semi-wet, or dry type or a double-block and bleed arrangement. Two shut-off valves in series with a venting valve in between, may be accepted provided:
 - the operation of the valve is automatically executed. Signal(s) for opening/closing is (are) to be taken from the process directly, e.g. inert gas flow or differential pressure; and
 - alarm for faulty operation of the valves is provided, e.g. the operation status of "blower stop" and "supply valve(s) open" is an alarm condition.</t>
  </si>
  <si>
    <t>C-4-15-13.2.3.a.3   The second non-return device shall be a non-return valve or equivalent capable of preventing the return of vapours and liquids and fitted between the deck water seal (or equivalent device) and the first connection from the inert gas main to a cargo tank. It shall be provided with positive means of closure. As an alternative to positive means of closure, an additional valve having such means of closure may be provided between the non-return valve and the first connection to the cargo tanks to isolate the deck water seal, or equivalent device, from the inert gas main to the cargo tanks.</t>
  </si>
  <si>
    <t>C-4-15-13.2.3.a.4   A water seal, if fitted, shall be capable of being supplied by two separate pumps, each of which shall be capable of maintaining an adequate supply at all times. The audible and visual alarm on the low level of water in the water seal shall operate at all times.</t>
  </si>
  <si>
    <t>C-4-15-13.2.3.a.5   The arrangement of the water seal, or equivalent devices, and its associated fittings shall be such that it will prevent backflow of vapours and liquids and will ensure the proper functioning of the seal under operating conditions.</t>
  </si>
  <si>
    <t>C-4-15-13.2.3.a.6   Provision shall be made to ensure that the water seal is protected against freezing, in such a way that the integrity of seal is not impaired by overheating.</t>
  </si>
  <si>
    <t>C-4-15-13.2.3.a.7   A water loop or other approved arrangement shall also be fitted to each associated water supply and drain pipe and each venting or pressure-sensing pipe leading to gas-safe spaces. Means shall be provided to prevent such loops from being emptied by vacuum.</t>
  </si>
  <si>
    <t xml:space="preserve">C-4-15-13.2.3.a.8   Any water seal, or equivalent device, and loop arrangements shall be capable of preventing return of vapours and liquids to an inert gas plant at a pressure equal to the test pressure of the cargo tanks.
</t>
  </si>
  <si>
    <t>C-4-15-13.2.3.a.9   The non-return devices shall be located in the cargo area on deck.</t>
  </si>
  <si>
    <t>C-4-1-9.3.3.a.1   At least two non-return devices are to be fitted in order to prevent the return of vapour and liquid to the inert gas plant, or to any gas-safe spaces.</t>
  </si>
  <si>
    <t>C-4-1-9.3.3.a.2   The first non-return device is to be a deck seal of the wet, semi-wet, or dry type or a double-block and bleed arrangement. Two shut-off valves in series with a venting valve in between may be accepted provided:
• the operation of the valve is automatically executed. Signal(s) for opening/closing is (are) to be taken from the process directly, e.g. inert gas flow or differential pressure; and
• alarm for faulty operation of the valves is provided, e.g. the operation status of "blower stop" and "supply valve(s) open" is an alarm condition.</t>
  </si>
  <si>
    <t>C-4-1-9.3.3.a.3   The second non-return device is to be a non-return valve or equivalent capable of preventing the return of vapours and liquids and fitted between the deck water seal (or equivalent device) and the first connection from the inert gas main to a cargo tank. It is to be provided with positive means of closure. As an alternative to positive means of closure, an additional valve having such means of closure may be provided between the non-return valve and the first connection to the cargo tanks to isolate the deck water seal, or equivalent device, from the inert gas main to the cargo tanks.</t>
  </si>
  <si>
    <t>C-4-1-9.3.3.a.4   A water seal, if fitted, is to be capable of being supplied by two separate pumps, each of which is to be capable of maintaining an adequate supply at all times. The audible and visual alarm on the low level
of water in the water seal are to operate at all times.</t>
  </si>
  <si>
    <t>C-4-1-9.3.3.a.5   The arrangement of the water seal, or equivalent devices, and its associated fittings are to be such that it will prevent backflow of vapours and liquids and Pt C, Ch 4, Sec 1 RINA Rules 2024 217 will ensure the proper functioning of the seal under operating conditions.</t>
  </si>
  <si>
    <t>C-4-1-9.3.3.a.8   Any water seal, or equivalent device, and loop arrangements are to be capable of preventing the return of vapours and liquids to an inert gas plant at a pressure equal to the test pressure of the cargo tanks.</t>
  </si>
  <si>
    <t>C-4-1-9.3.3.a.9   The non-return devices are to be located in the
cargo area on deck.</t>
  </si>
  <si>
    <t>C-4-1-9.3.3.a.6   Provision is to be made to ensure that the water seal is protected against freezing, in such a way that the integrity of the seal is not impaired by overheating.</t>
  </si>
  <si>
    <t>C-4-1-9.3.3.a.7   A water loop or other approved arrangement is also to be fitted to each associated water supply and drain pipe and each venting or pressure-sensing pipe leading to gas-safe spaces. Means are to be provided to prevent such loops from being emptied by vacuum.</t>
  </si>
  <si>
    <t>C-4-1-9.3.3.b.6   Arrangements are to be provided to enable the inert gas main to be connected to an external supply of inert gas. The arrangements are to consist of a 250 mm nominal pipe size bolted flange, isolated from the inert gas main by a valve and located forward of the non-return valve. The design of the flange should conform to the appropriate class in the standards adopted for the design of other external connections in the ship's cargo piping system.</t>
  </si>
  <si>
    <t>C-4-15-13.2.3.7   If a connection is fitted between the inert gas main and the cargo piping system, arrangements shall be made to ensure an effective isolation having regard to the large pressure difference which may exist between the systems. This shall consist of two shutoff valves with an arrangement to vent the space between the valves in a safe manner or an arrangement consisting of a spool-piece with associated blanks.</t>
  </si>
  <si>
    <t>C-4-15-13.2.3.6  Arrangements shall be provided to enable the inert gas main to be connected to an external supply of inert gas. The arrangements shall consist of a 250 mm nominal pipe size bolted flange, isolated from the inert gas main by a valve and located downstream of the non-return valve. The design of the flange should conform to the appropriate class in the standards adopted for the design of other external connections in the ship's cargo piping system.</t>
  </si>
  <si>
    <t>C-4-1-9.3.3.b.7   If a connection is fitted between the inert gas main and the cargo piping system, arrangements are to be made to ensure an effective isolation having regard to the large pressure difference which may exist between the systems. This is to consist of two shutoff valves with an arrangement to vent the space between the valves in a safe manner or an arrangement consisting of a spool-piece with associated blanks.</t>
  </si>
  <si>
    <t>C-4-1-9.3.3.b.8   The valve separating the inert gas main from the cargo main and which is on the cargo main side is to be a non-return valve with a positive means of closure.</t>
  </si>
  <si>
    <t>C-4-15-13.2.3.8   The valve separating the inert gas main from the cargo main and which is on the cargo main side shall be a non-return valve with a positive means of closure.</t>
  </si>
  <si>
    <t>C-4-15-13.2.3.9   Inert gas piping systems shall not pass through accommodation, service and control station spaces.</t>
  </si>
  <si>
    <t>C-4-1-9.3.3.b.9   Inert gas piping systems are not to pass through accommodation, service and control station spaces.</t>
  </si>
  <si>
    <t>C-4-1-9.3.3.b.10   In combination carriers, the arrangement to isolate the slop tanks containing oil or oil residues from other tanks is to consist of blank flanges which will remain in position at all times when cargoes other than oil are being carried except as provided for in the relevant section of the guidelines developed by IMO (see Note 1).
Note 1: Refer to the Revised Guidelines for inert gas systems (IMO
MSC/Circ.353), as amended by IMO MSC/Circ.387.</t>
  </si>
  <si>
    <t>C-4-15-13.2.3.10   In combination carriers, the arrangement to isolate the slop tanks containing oil or oil residues from other tanks shall consist of blank flanges which will remain in position at all times when cargoes other than oil are being carried except as provided for in the relevant section of IMO Circular MSC/Circ.353, as amended by IMO Circular MSC/Circ.387.</t>
  </si>
  <si>
    <t>C-4-1-9.3.4.a   The operation status of the inert gas system is to be
indicated in a control panel.</t>
  </si>
  <si>
    <t>C-4-1-9.3.4.b   Instrumentation is to be fitted for continuously indicating and permanently recording, when inert gas is being supplied:
1) the pressure of the inert gas mains forward of the non-return devices; and
2) the oxygen content of the inert gas.</t>
  </si>
  <si>
    <t>C-4-1-9.3.4.c   The indicating and recording devices are to be placed in
the cargo control room where provided. But where no cargo control room is provided, they are to be placed in a position easily accessible to the officer in charge of cargo operations.</t>
  </si>
  <si>
    <t>C-4-1-9.3.4.d   In addition, meters are to be fitted:
1) on the navigating bridge to indicate at all times the pressure referred to in b) 1) and the pressure in the slop tanks of combination carriers, whenever those tanks are isolated from the inert gas main; and
2) in the machinery control room or in the machinery space to indicate the oxygen content referred to in b) 2).</t>
  </si>
  <si>
    <t>C-4-1-9.3.4.e   Audible and visual alarms
1) Audible and visual alarms are to be provided, based on the system designed, to indicate:
• oxygen content in excess of 5% by volume;
• failure of the power supply to the indicating devices as referred to in b);
• gas pressure less than 100 mm water gauge. The alarm arrangement is to be such as to ensure that the pressure in slop tanks in combination
carriers can be monitored at all times;
• high-gas pressure; and
• failure of the power supply to the automatic control system.</t>
  </si>
  <si>
    <t>C-4-1-9.3.4.2   The alarms required in first, third and fifth bullet of the above item 1) are to be fitted in the machinery space and cargo control room, where provided, but in each case in such a position that they are
immediately received by responsible members of the crew.</t>
  </si>
  <si>
    <t>C-4-1-9.3.4.3   An audible alarm system independent of that required in the third bullet of the above item 1) or automatic shutdown of cargo pumps are to be provided to operate on predetermined limits of low pressure in the inert gas main being reached.</t>
  </si>
  <si>
    <t>C-4-1-9.3.4.4   Two oxygen sensors are to be positioned at appropriate locations in the space or spaces containing the inert gas system. If the oxygen level falls below 19%, these sensors are to trigger alarms, which are to be both visible and audible inside and outside the space or spaces and are to be placed in such a position that they are immediately received by responsible members of the crew.</t>
  </si>
  <si>
    <t>C-4-1-9.3.5   Detailed instruction manuals are to be provided on board, covering the operations, safety and maintenance requirements and occupational health hazards relevant to the inert gas system and its application to the cargo tank system (see Note 1). The manuals are to include guidance on procedures to be followed in the event of a fault or failure of the inert gas system.
Note 1: Refer to the Revised Guidelines for inert gas systems (IMO
MSC/Circ.353), as amended by IMO MSC/Circ.387.</t>
  </si>
  <si>
    <t>C-4-15-13.2.1.b   The system shall be capable of:
1.  inerting empty cargo tanks and maintaining the atmosphere in any part of the tank with an oxygen content not exceeding 8% by volume and at a positive pressure in port and at sea except when it is necessary for such a tank to be gas-free;
2.  eliminating the need for air to enter a tank during normal operations except when it is necessary for such a tank to be gas-free;
3.  purging empty cargo tanks of hydrocarbon or other flammable vapours, so that subsequent gas-freeing operations will at no time create a flammable atmosphere within the tank;
4.  delivering inert gas to the cargo tanks at a rate of at least 125% of the maximum rate of discharge capacity of the ship expressed as a volume. For chemical tankers and chemical/product tankers, the Society may accept inert gas systems having a lower delivery capacity provided that the maximum rate of discharge of cargoes from cargo tanks being protected by the system is restricted to not more than 80% of the inert gas capacity; and
5.  delivering inert gas with an oxygen content of not more than 5% by volume to the cargo tanks at any required rate of flow.</t>
  </si>
  <si>
    <t>C-4-15-13.2.1.a   The inert gas systems shall be designed, constructed and tested to the satisfaction of the Society. It shall be designed to be capable of rendering and maintaining the atmosphere of the relevant cargo tanks non-flammable.
Note 1 :   Refer to the Revised standards for the design, testing and locating of devices to prevent the passage of flame into cargo tanks in tankers (MSC/Circ.677, as amended by MSC/Circ.1009 and MSC.1/Circ.1324) and the Revised factors to be taken into consideration when designing cargo tank venting and gas-freeing arrangements (MSC/Circ.731).</t>
  </si>
  <si>
    <t>C-4-15-13.2.1.c   Materials used in inert gas systems shall be suitable for their intended purpose. In particular, those components which may be subjected to corrosive action of the gases and/or liquids are to be either constructed of corrosion-resistant material or lined with rubber, glass fibre epoxy resin or other equivalent coating material.</t>
  </si>
  <si>
    <t>System requirements</t>
  </si>
  <si>
    <t>System requirements - Inert gas generators</t>
  </si>
  <si>
    <t>C-4-1-9.4.2.a
1  two fuel oil pumps are to be fitted to the inert gas
generator. Suitable fuel in sufficient quantity is to be
provided for the inert gas generators.
2   the inert gas generators are to be located outside the
cargo tank area. Spaces containing inert gas generators are to have no direct access to accommodation, service or control station spaces, but may be located in machinery spaces. If they are not located in machinery spaces, such a compartment is to be separated by a gastight steel bulkhead and/or deck from accommodation, service and control station spaces. Adequate positive-pressure- type mechanical ventilation is to be
provided for such a compartment.</t>
  </si>
  <si>
    <t>C-4-1-9.4.2.b
1) A gas regulating valve is to be fitted in the inert gas
main. This valve is to be automatically controlled to
close, as required in [9.3.2] b). It is also to be
capable of automatically regulating the flow of inert
gas to the cargo tanks unless means are provided to
automatically control the inert gas flow rate.
2) The gas regulating valve is to be located at the
forward bulkhead of the forward most gas-safe space
through which the inert gas main passes.</t>
  </si>
  <si>
    <t>Gas regulating valves</t>
  </si>
  <si>
    <t>C-4-1-9.4.2.c
1) Means are to be fitted which will effectively cool the
volume of gas specified in [9.3.1] b) and remove
solids and sulphur combustion products. The
cooling water arrangements are to be such that an
adequate supply of water will always be available
without interfering with any essential services on the
ship. Provision is also to be made for an alternative
supply of cooling water.
2) Filters or equivalent devices are to be fitted to
minimize the amount of water carried over to the
inert gas blowers.</t>
  </si>
  <si>
    <t>Cooling and scrubbing arrangement</t>
  </si>
  <si>
    <t>C-4-1-9.4.2.d
1) At least two inert gas blowers are to be fitted and be
capable of delivering to the cargo tanks at least the
volume of gas required by [9.3.1] b). For systems
fitted with inert gas generators, the Society may
permit only one blower if that system is capable of
delivering the total volume of gas required by [9.3.1]
b) to the cargo tanks, provided that sufficient spares
for the blower and its prime mover are carried on
board to enable any failure of the blower and its
prime mover to be rectified by the ship's crew.
2) Where inert gas generators are served by positive
displacement blowers, a pressure relief device is to
be provided to prevent excess pressure being
developed on the discharge side of the blower.
3) When two blowers are provided, the total required
capacity of the inert gas system is to be divided
evenly between the two and in no case is one
blower to have a capacity less than 1/3 of the total
required.</t>
  </si>
  <si>
    <t>Blowers</t>
  </si>
  <si>
    <t>Inert gas isolating valves</t>
  </si>
  <si>
    <t>C-4-1-9.4.2.e   For systems using flue gas, flue gas isolating valves are
to be fitted in the inert gas mains between the boiler
uptakes and the flue gas scrubber. These valves are to be
provided with indicators to show whether they are open
or shut, and precautions are to be taken to maintain
them gastight and keep the seatings clear of soot.
Arrangements are to be made to ensure that boiler soot
blowers cannot be operated when the corresponding
flue gas valve is open.</t>
  </si>
  <si>
    <t>Prevention of flue gas leakage</t>
  </si>
  <si>
    <t>C-4-1-9.4.3.a   In addition to the requirements in [9.3.4] b), means are
to be provided for continuously indicating the
temperature of the inert gas at the discharge side of the
system, whenever it is operating.</t>
  </si>
  <si>
    <t>C-4-1-9.4.3.b   In addition to the requirements of [9.3.4] e), audible
and visual alarms are to be provided to indicate:
1) insufficient fuel oil supply to the oil-fired inert gas generator;
2) failure of the power supply to the generator;
3) low water pressure or low water flow rate to the cooling and scrubbing arrangement;
4) high water level in the cooling and scrubbing arrangement;
5) high gas temperature;
6) failure of the inert gas blowers; and
7) low water level in the water seal.</t>
  </si>
  <si>
    <t>C-4-1-9.5.2.a   The inert gas is to be high purity nitrogen produced by
separating air into its component gases by passing compressed air  through a bundle of hollow fibres, semipermeable membranes or absorber material.</t>
  </si>
  <si>
    <t>C-4-1-9.5.2.b   The system is to consist of a feed air treatment system
and any number of membrane or absorber modules in parallel necessary to meet the requirements in [9.3.1] d).</t>
  </si>
  <si>
    <t>C-4-1-9.5.2.c   The system is to be provided with one or more compressors to generate enough positive pressure to be capable of delivering the total volume of gas required by [9.3.1] b).</t>
  </si>
  <si>
    <t>C-4-15-13.4.2.a   The system shall be provided with one or more compressors to generate enough positive pressure to be capable of delivering the total volume of gas required by [13.2.1], item b).</t>
  </si>
  <si>
    <t>C-4-1-9.5.2.d   Where two compressors are provided, the total required capacity of the system is preferably to be divided equally between the two compressors, and in no case is one compressor to have a capacity less than 1/3 of the total capacity required.</t>
  </si>
  <si>
    <t>C-4-1-9.5.2.e   A feed air treatment system is to be fitted to remove free
water, particles and traces of oil from the compressed air, while preserving the gas temperature according to specification.</t>
  </si>
  <si>
    <t>C-4-1-9.5.2.f   The oxygen-enriched air from the nitrogen generator and the nitrogen-product enriched gas from the protective devices of the nitrogen receiver are to be discharged to a safe location (see Note 1) on the open deck.</t>
  </si>
  <si>
    <t>C-4-1-9.5.2.f
• oxygen-enriched air from the nitrogen generator - safe locations on the open deck are:
- outside of hazardous area;
- not within 3m of areas traversed by personnel; and
- not within 6m of air intakes for machinery (engines and boilers) and all ventilation inlets.</t>
  </si>
  <si>
    <t>C-4-1-9.5.2.f
• nitrogen-product enriched gas from the protective devices of the nitrogen receiver - safe locations on the open deck are:
- not within 3m of areas traversed by personnel; and
- not within 6m of air intakes for machinery (engines and boilers) and all ventilation inlets/outlets</t>
  </si>
  <si>
    <t>C-4-1-9.5.2.g   The air compressor and nitrogen generator may be installed in the engine-room or in a separate compartment. A separate compartment and any installed equipment is to be treated as an "Other machinery space" with respect to fire protection. Where a separate compartment is provided for the nitrogen generator, the compartment is to be fitted with an independent mechanical extraction ventilation system providing six air changes per hour. The compartment is to have no direct access to accommodation spaces, service spaces and control stations.</t>
  </si>
  <si>
    <t>C-4-15-13.4.2.b   A feed air treatment system shall be fitted to remove free water, particles and traces of oil from the compressed air.</t>
  </si>
  <si>
    <t>C-4-15-13.4.2.c   The air compressor and nitrogen  generator may be installed in the engine-room or in a separate compartment. A separate compartment and any installed equipment shall be treated as an "Other machinery space" with respect to fire protection. Where a separate compartment is provided for the nitrogen  generator, the compartment shall be fitted with an independent mechanical extraction ventilation system providing six air changes per hour. The compartment is to have no direct access to accommodation spaces, service spaces and control stations.</t>
  </si>
  <si>
    <t>C-4-15-13.4.2.d   Where a nitrogen  receiver or a buffer tank is installed, it may be installed in a dedicated compartment, in a separate compartment containing the air compressor and the generator, in the engine room, or in the cargo area. Where the nitrogen  receiver or a buffer tank is installed in an enclosed space, the access shall be arranged only from the open deck and the access door shall open outwards. Adequate, independent mechanical ventilation, of the extraction type, shall be provided for such a compartment.</t>
  </si>
  <si>
    <t>C-4-1-9.5.2.h   Where a nitrogen receiver or a buffer tank is installed, it may be installed in a dedicated compartment, in a separate compartment containing the air compressor and the generator, in the engine room, or in the cargo area. Where the nitrogen receiver or a buffer tank is installed in an enclosed space, the access is to be arranged only from the open deck and the access door is to be opened outwards. Adequate, independent mechanical ventilation, of the extraction type, is to be provided for such a compartment.</t>
  </si>
  <si>
    <t>Requirements - Number of compressors</t>
  </si>
  <si>
    <t>Requirements - Feed air treatment</t>
  </si>
  <si>
    <t>Requirements - Location and ventilation</t>
  </si>
  <si>
    <t>Requirements - Compartment and access</t>
  </si>
  <si>
    <t>C-4-1-9.5.2.i   In order to permit maintenance, means of isolation are
to be fitted between the generator and the receiver.</t>
  </si>
  <si>
    <t>C-4-15-13.2.2.c   Suitable shutoff arrangements shall be provided on the discharge outlet of each generator plant.</t>
  </si>
  <si>
    <t>C-4-15-13.2.2.d   The system shall be designed to ensure that if the oxygen content exceeds 5% by volume, the inert gas shall be automatically vented to atmosphere.</t>
  </si>
  <si>
    <t>C-4-15-13.2.2.e   Arrangements shall be provided to enable the functioning of the inert gas plant to be stabilized before commencing cargo discharge. If blowers are to be used for gas-freeing, their air inlets shall be provided with blanking arrangements.</t>
  </si>
  <si>
    <t>C-4-15-13.2.2.f   Where a double block and bleed valve is installed, the system shall ensure upon of loss of power, the block valves are automatically closed and the bleed valve is automatically open.</t>
  </si>
  <si>
    <t>C-4-1-9.5.2.j   The system is to be fitted with automatic means to discharge "off-spec" gas to the atmosphere during startup and abnormal operation.</t>
  </si>
  <si>
    <t xml:space="preserve">C-4-15-13.4.2.b   In addition to the requirements in [13.2.4], item e), audible and visual alarms shall be provided to include:
 - failure of the electric heater, if fitted;
 - low feed-air pressure or flow from the compressor;
 - high-air temperature; and
 - high condensate level at automatic drain of water separator.
</t>
  </si>
  <si>
    <t>C-4-15-13.4.2.a   In addition to the requirements in [13.2.4], item b),  instrumentation is to be provided for continuously indicating the temperature and pressure of air at the suction side of the nitrogen generator.</t>
  </si>
  <si>
    <t>C-4-1-9.5.3.a   In addition to the requirements in [9.3.4] b), instrumentation is to be provided for continuously indicating the temperature and pressure of air at the suction side of the nitrogen generator.</t>
  </si>
  <si>
    <t>C-4-1-9.5.3.b   In addition to the requirements in [9.3.4] e), audible and
visual alarms are to be provided to include:
1) failure of the electric heater, if fitted;
2) low feed-air pressure or flow from the compressor;
3) high-air temperature; and
4) high condensate level at automatic drain of water separator.</t>
  </si>
  <si>
    <t>C-4-15-13.2.2.a   The inert gas system shall be so designed that the  maximum pressure which it can exert on any cargo tank will not exceed the test pressure of any cargo tank.</t>
  </si>
  <si>
    <t>C-4-1-9.3.2.a   The inert gas system is to be so designed that the
maximum pressure which it can exert on any cargo tank will not exceed the test pressure of any cargo tank.</t>
  </si>
  <si>
    <t>C-4-15-13.2.2.b   Automatic shutdown of the inert gas system and its components parts shall be arranged on predetermined limits being reached, taking into account the provisions of [13.2.4], [13.3.3] and [13.4.3].
The automatic shutdown of the inert gas system and its components should involve the following:
 - shutdown of fans and closing of regulating valve for the following:
   - high water level in scrubber (not applicable for N2);
   - low pressure/flow to scrubber (not applicable for N2); or
   - high-high temperature of inert gas supply.
 - closing of regulating valve in the event of:
   - high oxygen content (in excess of 5% by volume); or
   - failure of blowers/fans or N2 compressors.
 - activation of double-block and bleed arrangement upon:
   - loss of inert gas supply (for ships with double block and bleed replacing water seal); or
   - loss of power.</t>
  </si>
  <si>
    <t>C-4-1-9.3.2.b   Automatic shutdown of the inert gas system and its component parts are to be arranged on predetermined limits being reached, taking into account the provisions of [9.3.4], [9.4.3] and [9.5.3].</t>
  </si>
  <si>
    <t>C-4-1-9.3.2.d   The system is to be designed to ensure that if the oxygen
content exceeds 5% by volume, the inert gas is to be automatically vented to atmosphere.</t>
  </si>
  <si>
    <t>C-4-1-9.3.2
c) Suitable shutoff arrangements are to be provided on the
discharge outlet of each generator plant.
e) Arrangements are to be provided to enable the
functioning of the inert gas plant to be stabilized before
commencing cargo discharge. If blowers are to be used
for gas-freeing, their air inlets are to be provided with
blanking arrangements.</t>
  </si>
  <si>
    <t>C-4-1-9.3.2.f   Where a double block and bleed valve is installed, the system is to ensure upon loss of power that the block valves are automatically closed and the bleed valve is automatically open.</t>
  </si>
  <si>
    <t>C-4-1-9.3.1.a   The inert gas system referred to in chapter II-2, Pt B, Reg 4, Art. 5.5 of the Convention is to be designed, constructed and tested to the satisfaction of the Society. It is to be designed to be capable of rendering and  maintaining the atmosphere of the relevant cargo tanks non-flammable.</t>
  </si>
  <si>
    <t>C-1-7-6.14.4   Nitrogen pipes are only to be led through well ventilated
spaces. Nitrogen pipes in enclosed spaces are to:
• be fully welded;
• have only a minimum of flange connections as needed for fitting of valves; and
• be as short as possible.</t>
  </si>
  <si>
    <t>C-1-7-6.13.2   To prevent the return of flammable gas to any non-hazardous spaces, the inert gas supply line is to be fitted with two shutoff valves in series with a venting valve in between (double block and bleed valves). In addition, a closable non-return valve is to be installed between the double block and bleed arrangement and the fuel system. These valves are to be located outside non-hazardous spaces.</t>
  </si>
  <si>
    <t>C-1-7-6.13.3   Where the connections to the fuel piping systems are nonpermanent, two non-return valves may be substituted for the valves required in [6.13.2].</t>
  </si>
  <si>
    <t>C-1-7-6.13.4   The arrangements are to be such that each space being
inerted can be isolated and the necessary controls and relief valves, etc. are to be provided for controlling pressure in these spaces.</t>
  </si>
  <si>
    <t>C-1-7-6.13.5   Where insulation spaces are continually supplied with an
inert gas as part of a leak detection system, means are to be provided to monitor the quantity of gas being supplied to individual spaces</t>
  </si>
  <si>
    <t>Inerting - Preventing back-flow</t>
  </si>
  <si>
    <t>Inerting - Isolation of spaces to be inerted</t>
  </si>
  <si>
    <t>Inerting - Monitoring of leak detection system</t>
  </si>
  <si>
    <t>Inerting - Maximum oxygen content</t>
  </si>
  <si>
    <t>Inerting - Inert gas production - Monitoring</t>
  </si>
  <si>
    <t>Inerting - Inert gas production - Ventilation</t>
  </si>
  <si>
    <t>Inerting - Inert gas piping arrangement</t>
  </si>
  <si>
    <t>Steering gear room arrangement</t>
  </si>
  <si>
    <t>C-1-11-7.1.1 The steering gear compartment shall be:
a) readily accessible and, as far as practicable, separated from machinery spaces, and 
b) provided with suitable arrangements to ensure working access to steering gear machinery and controls. These arrangements shall include handrails and gratings or other non-slip surfaces to ensure suitable working conditions in the event of hydraulic fluid leakage.</t>
  </si>
  <si>
    <t>E-7-4-4.3.2   When the ship is provided with an inert gas system, the
cargo tanks are first to be purged in accordance with the provisions of Part C, Chapter 4 until the concentration of hydrocarbon vapours in the cargo tanks has been reduced to less than 2% by volume. Thereafter, gas-freeing may take place at the cargo tank deck level.</t>
  </si>
  <si>
    <t>Purging cargo tanks with an inert gas system</t>
  </si>
  <si>
    <t>Cargo tank purging and/or gas-freeing - General</t>
  </si>
  <si>
    <t>Cargo tank purging and/or gas-freeing - Fans in safe spaces</t>
  </si>
  <si>
    <t>Cargo tank purging and/or gas-freeing - Discharge outlets</t>
  </si>
  <si>
    <t>E-7-4-4.3.1.a   Arrangements are to be made for purging and/or gasfreeing of cargo tanks. The arrangements are to be such as to minimise the hazards due to the dispersal of flammable vapours in the atmosphere and to flammable mixtures in a cargo tank. Accordingly, the provisions of [4.3.2] and [4.3.3], as applicable, are to be complied with.</t>
  </si>
  <si>
    <t>E-7-4-4.3.1.b   In the case of fans installed in safe spaces, two nonreturn
devices are to be fitted to avoid return of cargo vapours to safe spaces when the ventilation system is shut down. These non-return devices are to operate in all normal conditions of ship trim and list.</t>
  </si>
  <si>
    <t>C-4-1-9.4.2.f
1) Special consideration is to be given to the design and location of  scrubber and blowers with relevant Pt C, Ch 4, Sec 1
RINA Rules 2024 219 piping and fittings in order to prevent flue gas
leakages into enclosed spaces.
2) To permit safe maintenance, an additional water seal or other effective means of preventing flue gas leakage is to be fitted between the flue gas isolating valves and scrubber or incorporated in the gas entry to the scrubber.</t>
  </si>
  <si>
    <t>Inert gas lines - Thermal pressure runaway</t>
  </si>
  <si>
    <t>Inert gas lines - Separation cargo &lt;&gt; inert gas</t>
  </si>
  <si>
    <t>Inert gas lines - Branch lines</t>
  </si>
  <si>
    <t>Sounding and air pipes for substances mentioned in IMDG code</t>
  </si>
  <si>
    <t>Sounding pipes and air pipes are to end in an open space above freeboard deck. Means in order to prevent water entry through these pipe ends in any circumstances are to be provided.</t>
  </si>
  <si>
    <t>C-1-10-17.2.2  
a.  Compressed air systems are to be so designed that, in the event of failure of one air compressor or one air receiver intended for starting, control purposes or other essential services, the air supply to such services can be maintained. The filling connections of the compressed air receivers shall be fitted with a non-return valve.
b.  The compressed air system for starting the main and auxiliary engines is to be arranged so that the necessary initial charge of starting air can be developed on board ship without external aid. If, for this purpose, an emergency air compressor or an electric generator is required, these units are to be powered by a hand-starting oil engine or a hand-operated compressor.
c.  Where compressed air is necessary to restore propulsion, the arrangements for bringing main and auxiliary machinery into operation are to have capacity such that the starting energy and any power supplies for engine operation are available within 30 minutes of a dead ship condition. For definition of the "dead ship condition", see Ch 1, Sec 1, [1.4.2] and Ch 2, Sec 1, [3.17.1]. The procedure for such condition and relevant calculation is to be submitted.
d.  Where the compressed air is necessary for the air whistle or other safety services, it is to be available from two compressed air receivers. At least one of them is to be starting air receiver for main engines. The separate connection, dedicated for this purpose, is to be provided directly from the compressed air main.</t>
  </si>
  <si>
    <t>C-1-10-17.2.2  
b.  The compressed air system for starting the main and auxiliary engines is to be arranged so that the necessary initial charge of starting air can be developed on board ship without external aid. If, for this purpose, an emergency air compressor or an electric generator is required, these units are to be powered by a hand-starting oil engine or a hand-operated compressor.
c.  Where compressed air is necessary to restore propulsion, the arrangements for bringing main and auxiliary machinery into operation are to have capacity such that the starting energy and any power supplies for engine operation are available within 30 minutes of a dead ship condition. For definition of the "dead ship condition", see Ch 1, Sec 1, [1.4.2] and Ch 2, Sec 1, [3.17.1]. The procedure for such condition and relevant calculation is to be submitted.</t>
  </si>
  <si>
    <t>C-4-1-8.2.4   The requirements for inert gas systems given in [9] need not be applied to gas carriers:
a) when carrying crude oil and petroleum products having a flashpoint not exceeding 60°C (closed cup test), provided that they comply with IMO Resolution A.567(14), or
b) when carrying flammable cargoes other than crude oil or petroleum products such as cargoes listed in Chapter 17 and 18 of the International Code for the Construction and Equipment of Ships Carrying Dangerous Chemicals in Bulk, provided that the capacity of tanks used for their carriage does not exceed 3000 m3, the individual nozzle capacities of tank washing machines do not exceed 17,5 m3/h and the total combined throughput from the number of machines in use in a cargo tank at any one time does not exceed 110 m3/h.</t>
  </si>
  <si>
    <t>E-7-4-4.3.1.c   Discharge outlets are to be located at least 10 m measured horizontally from the nearest air intake and openings to enclosed spaces with a source of ignition and from deck machinery equipment which may constitute an ignition hazard.</t>
  </si>
  <si>
    <t>C-4-1-8.1.2   The inert gas system referred to in [8.2.1] is to be designed, constructed and tested in accordance with the requirements of [9]. Unless otherwise stated, for materials and design criteria of piping and relevant accessories reference is to be made to Ch 1, Sec 10.</t>
  </si>
  <si>
    <t>C-1-10-5.3.3
a.  Except as provided in b) the collision bulkhead  may be pierced below the bulkhead  deck by not more than one pipe  for dealing with fluid in the forepeak tank, provided that the pipe  is fitted with a screw-down valve capable of being operated from above the bulkhead  deck, the valve chest being secured inside the forepeak to the collision bulkhead. the Society may, however, authorize the fitting of this valve on the after side of the collision bulkhead  provided that the valve is readily accessible under all service conditions and the space in which it is located is not a cargo space. All valves shall be of steel, bronze or other approved ductile material. Valves of ordinary cast iron or similar material are not acceptable.
c.  The remote operation device of the valve referred to in a) is to include an indicator to show whether the valve is open or shut.</t>
  </si>
  <si>
    <t>2-4-5.7.1  
a. Where penetrations of watertight bulkheads and internal decks are necessary for piping and ventilation, arrangements are to be made to maintain the watertight integrity
b. Lead or other heat sensitive materials are not to be used in piping systems which penetrate watertight subdivision bulkheads or decks, where deterioration of such systems in the event of fire would impair the watertight integrity of the bulkhead or decks.
This applies in particular to the following systems:
 - bilge system
 - ballast system
 - scuppers and sanitary discharge systems.
c. Where bolted connections are used when passing through watertight bulkheads or decks, the bolts are not to be screwed through the plating. Where welded connections are used, they are to be welded on both sides of the bulkhead or deck
d. Penetration of watertight bulkheads or decks by plastic pipes are to comply with [3.6.6].</t>
  </si>
  <si>
    <t>311 312 343 346 371</t>
  </si>
  <si>
    <t xml:space="preserve">B-2-2-3.1.3 Small wells constructed in the double bottom in connection with drainage arrangement are not to extend downward more than necessary. The vertical distance from the bottom of such a well to a plane coinciding with the keel line is not to be less than h/2 or 500 mm, whichever is greater, or compliance with requirement defined in Ch 3, Sec 3, [3.4.3] is to be shown for that part of the ship.
Other wells (e.g. for lubricating oil under main engines) may be permitted by the Society if satisfied that the arrangements give protection equivalent to that afforded by a double bottom complying with this regulation.
Proof of equivalent protection is to be shown by demonstrating that the ship is capable of withstanding bottom damages as specified in Ch 3, Sec 3, [3.4.3]. Alternatively, wells for lubricating oil below main engines may protrude into the double bottom below the boundary line defined by the distance h provided that the vertical distance between the well bottom and a plane coinciding with the keel line is not less than h/2 or 500 mm, whichever is the greater.
For a cargo ship of less than 80 m in length, the arrangements are to provide a level of safety to the satisfaction of the Society.
</t>
  </si>
  <si>
    <t xml:space="preserve">B-3-3-3.3.1  Progressive  flooding  is the additional flooding  of spaces which were not previously assumed to be damaged. Such additional flooding  may occur through openings or pipes as indicated in [3.3.2] and [3.3.3].
</t>
  </si>
  <si>
    <t>1-3-3.3.1 If pipes, ducts trunks or tunnels are situated within the assumed extent of damage, arrangements are to be made to ensure that progressive flooding cannot thereby extend to compartments other than those assumed to be floodable for each case of damage.</t>
  </si>
  <si>
    <t>IGC Code</t>
  </si>
  <si>
    <t>Vessel type / Code</t>
  </si>
  <si>
    <t>Sys Id</t>
  </si>
  <si>
    <t>3.7.1.1. Where cargo is carried in a cargo containment system not requiring a secondary barrier, hold spaces should be provided with  suitable drainage arrangements not connected with the machinery space. Means of detecting any leakage should be provided.</t>
  </si>
  <si>
    <t>3.7.1.2. Where there is a secondary barrier, suitable drainage arrangements for dealing with any leakage into the hold or insulation  spaces through adjacent ship structure should be provided. The suction should not be led to pumps inside the machinery space. Means  of detecting such leakage should be provided.</t>
  </si>
  <si>
    <t>3.7.2.1. The hold or interbarrier spaces of Type A independent tank ships should be provided with a drainage system suitable for handling liquid cargo in the event of cargo tank leakage or rupture. Such arrangements should provide for the return of any cargo leakage to the liquid cargo piping.</t>
  </si>
  <si>
    <t xml:space="preserve">3.7.2.2. Arrangements referred to in 3.7.2.1 should be provided with a removable spool piece. </t>
  </si>
  <si>
    <t>3.7.3. In case of internal insulation tanks, means of detecting leakage and drainage arrangements are not required for interbarrier spaces  and spaces between the secondary barrier and the inner hull or independent tank structure which are completely filled by insulation material complying with 4.9.7.2</t>
  </si>
  <si>
    <t>3.7.4. Ballast spaces, including wet duct keels used as ballast piping, fuel-oil tanks and gas-safe spaces may be connected to pumps in  the machinery spaces. Dry duct keels with ballast piping passing through, may be connected to pumps in the machinery spaces, provided  the connections are led directly to the pumps and the discharge from the pumps lead directly overboard with no valves or manifolds in either line which could connect the line from the duct keel to lines serving gas-safe spaces. Pump vents should not be open to machinery spaces.</t>
  </si>
  <si>
    <r>
      <t>4.2.6.1. The design vapour pressure P</t>
    </r>
    <r>
      <rPr>
        <vertAlign val="subscript"/>
        <sz val="10"/>
        <color theme="1"/>
        <rFont val="Arial"/>
        <family val="2"/>
      </rPr>
      <t>o</t>
    </r>
    <r>
      <rPr>
        <sz val="10"/>
        <color theme="1"/>
        <rFont val="Arial"/>
        <family val="2"/>
      </rPr>
      <t xml:space="preserve"> is the maximum gauge pressure at the top of the tank which has been used in the design of the tank.</t>
    </r>
  </si>
  <si>
    <t>Design vapor pressure</t>
  </si>
  <si>
    <r>
      <t>4.2.6.2. For cargo tanks where there is no temperature control and where the pressure of the cargo is dictated only by the ambient temperature, P</t>
    </r>
    <r>
      <rPr>
        <vertAlign val="subscript"/>
        <sz val="10"/>
        <color theme="1"/>
        <rFont val="Arial"/>
        <family val="2"/>
      </rPr>
      <t>o</t>
    </r>
    <r>
      <rPr>
        <sz val="10"/>
        <color theme="1"/>
        <rFont val="Arial"/>
        <family val="2"/>
      </rPr>
      <t xml:space="preserve"> should not be less than the gauge vapour pressure of the cargo at a temperature of 45°C. However, lesser values of this temperature may be accepted by the Administration for ships operating in restricted areas or on voyages of restricted duration and account may be taken in such cases of any insulation of the tanks. Conversely, higher values of this temperature may be required for ships permanently operating in areas of high ambient temperature.</t>
    </r>
  </si>
  <si>
    <r>
      <t>4.2.6.3. In all cases, including 4.2.6.2, P</t>
    </r>
    <r>
      <rPr>
        <vertAlign val="subscript"/>
        <sz val="10"/>
        <color theme="1"/>
        <rFont val="Arial"/>
        <family val="2"/>
      </rPr>
      <t>o</t>
    </r>
    <r>
      <rPr>
        <sz val="10"/>
        <color theme="1"/>
        <rFont val="Arial"/>
        <family val="2"/>
      </rPr>
      <t xml:space="preserve"> should not be less than MARVS.</t>
    </r>
  </si>
  <si>
    <r>
      <t>4.2.6.4. Subject to special consideration by the Administration and to the limitations given in 4.2.1, 4.2.2, 4.2.3, 4.2.4 and 4.2.5 for the 
various tank types, a vapour pressure higher than P</t>
    </r>
    <r>
      <rPr>
        <vertAlign val="subscript"/>
        <sz val="10"/>
        <color theme="1"/>
        <rFont val="Arial"/>
        <family val="2"/>
      </rPr>
      <t>o</t>
    </r>
    <r>
      <rPr>
        <sz val="10"/>
        <color theme="1"/>
        <rFont val="Arial"/>
        <family val="2"/>
      </rPr>
      <t xml:space="preserve"> may be accepted in harbour conditions, where dynamic loads are reduced. </t>
    </r>
  </si>
  <si>
    <t xml:space="preserve">4.2.7 The design temperature for selection of materials is the minimum temperature at which cargo may be loaded or transported in the cargo tanks. Provision to the satisfaction of the Administration should be made to ensure that the tank or cargo temperature cannot be lowered below the design temperature. </t>
  </si>
  <si>
    <t>Design temperature</t>
  </si>
  <si>
    <t>Cargo and process piping - General</t>
  </si>
  <si>
    <t>635
690</t>
  </si>
  <si>
    <t>5.2.1.1. The requirements of sections 5.2, 5.3, 5.4 and 5.5 apply to product and process piping including vapour piping and vent lines of safety valves or similar piping. Instrument piping not containing cargo is exempt from these requirements.</t>
  </si>
  <si>
    <t>5.2.1.2. Provision should be made by the use of offsets, loops, bends, mechanical expansion joints such as bellows, slip joints and ball joints or similar suitable means to protect the piping, piping system components and cargo tanks from excessive stresses due to thermal movement and from movements of the tank and hull structure. Where mechanical expansion joints are used in piping they should be held to a minimum and, where located outside cargo tanks, should be of the bellows type.</t>
  </si>
  <si>
    <t>5.2.1.3. Low-temperature piping should be thermally isolated from the adjacent hull structure, where necessary, to prevent the 
temperature of the hull from falling below the design temperature of the hull material. Where liquid piping is dismantled regularly, or where liquid leakage may be anticipated, such as at shore connections and at pump seals, protection for the hull beneath should be provided.</t>
  </si>
  <si>
    <t>5.2.1.4. Where tanks or piping are separated from the ship’s structure by thermal isolation, provision should be made for electrically bonding both the piping and the tanks. All gasketed pipe joints and hose connections should be electrically bonded.</t>
  </si>
  <si>
    <t>5.2.1.5. Suitable means should be provided to relieve the pressure and remove liquid contents from cargo loading and discharging crossover headers and cargo hoses to the cargo tanks or other suitable location, prior to disconnecting the cargo hoses.</t>
  </si>
  <si>
    <t>5.2.1.6. All pipelines or components which may be isolated in a liquid full condition should be provided with relief valves.</t>
  </si>
  <si>
    <t>5.2.1.7. Relief valves discharging liquid cargo from the cargo piping system should discharge into the cargo tanks; alternatively they may discharge to the cargo vent mast if means are provided to detect and dispose of any liquid cargo which may flow into the vent system. Relief valves on cargo pumps should discharge to the pump suction.</t>
  </si>
  <si>
    <r>
      <t>5.2.2.1. Subject to the conditions stated in 5.2.4, the wall thickness of pipes should not be less than:
t = (t</t>
    </r>
    <r>
      <rPr>
        <vertAlign val="subscript"/>
        <sz val="10"/>
        <color theme="1"/>
        <rFont val="Arial"/>
        <family val="2"/>
      </rPr>
      <t>o</t>
    </r>
    <r>
      <rPr>
        <sz val="10"/>
        <color theme="1"/>
        <rFont val="Arial"/>
        <family val="2"/>
      </rPr>
      <t xml:space="preserve"> + </t>
    </r>
    <r>
      <rPr>
        <sz val="10"/>
        <color theme="1"/>
        <rFont val="Aptos Narrow"/>
        <family val="2"/>
      </rPr>
      <t>ð</t>
    </r>
    <r>
      <rPr>
        <sz val="8.5"/>
        <color theme="1"/>
        <rFont val="Arial"/>
        <family val="2"/>
      </rPr>
      <t xml:space="preserve"> + c) / (1 - (a/100))</t>
    </r>
    <r>
      <rPr>
        <sz val="10"/>
        <color theme="1"/>
        <rFont val="Arial"/>
        <family val="2"/>
      </rPr>
      <t xml:space="preserve"> 
where:
t</t>
    </r>
    <r>
      <rPr>
        <vertAlign val="subscript"/>
        <sz val="10"/>
        <color theme="1"/>
        <rFont val="Arial"/>
        <family val="2"/>
      </rPr>
      <t>o</t>
    </r>
    <r>
      <rPr>
        <sz val="10"/>
        <color theme="1"/>
        <rFont val="Arial"/>
        <family val="2"/>
      </rPr>
      <t xml:space="preserve"> = theoretical thickness
t</t>
    </r>
    <r>
      <rPr>
        <vertAlign val="subscript"/>
        <sz val="10"/>
        <color theme="1"/>
        <rFont val="Arial"/>
        <family val="2"/>
      </rPr>
      <t>o</t>
    </r>
    <r>
      <rPr>
        <sz val="10"/>
        <color theme="1"/>
        <rFont val="Arial"/>
        <family val="2"/>
      </rPr>
      <t xml:space="preserve"> = PD/(20Ke + P) (mm)
with:
P = design pressure (bar) referred to in 5.2.3
D = outside diameter (mm)
K = allowable stress (N/mm2
) referred to in 5.2.4
e = efficiency factor equal to 1.0 for seamless pipes and for longitudinally or spirally welded pipes, delivered by approved manufacturers of welded pipes, which are considered equivalent to seamless pipes when non-destructive testing on welds 
is carried out in accordance with Recognized Standards. In other cases an efficiency factor of less than 1.0, in accordance 
with recognized standards, may be required depending on the manufacturing process.
b = allowance for bending (mm). The value of b should be chosen so that the calculated stress in the bend, due to internal 
pressure only, does not exceed the allowable stress. Where such justification is not given, b should be:
b = 2.5 * r (mm)
with:
r = mean radius of the bend (mm)
c = corrosion allowance (mm). If corrosion or erosion is expected, the wall thickness of the piping should be increased over 
that required by other design requirements. This allowance should be consistent with the expected life of the piping.
a = negative manufacturing tolerance for thickness (%)</t>
    </r>
  </si>
  <si>
    <r>
      <t>5.2.3.1. The design pressure P in the formula for t</t>
    </r>
    <r>
      <rPr>
        <vertAlign val="subscript"/>
        <sz val="10"/>
        <color theme="1"/>
        <rFont val="Arial"/>
        <family val="2"/>
      </rPr>
      <t>o</t>
    </r>
    <r>
      <rPr>
        <sz val="10"/>
        <color theme="1"/>
        <rFont val="Arial"/>
        <family val="2"/>
      </rPr>
      <t xml:space="preserve"> in 5.2.2.1 is the maximum gauge pressure to which the system may be subjected in service: </t>
    </r>
  </si>
  <si>
    <t>5.2.3.2. The greater of the following design conditions should be used for piping, piping system and components as appropriate: 
.1. for vapour piping systems or components which may be separated from their relief valves and which may contain some liquid: the saturated vapour pressure at 45°C, or higher or lower if agreed upon by the Administration (see 4.2.6.2); 
.2. for systems or components which may be separated from their relief valves and which contain only vapour at all times: the 
superheated vapour pressure at 45°C or higher or lower if agreed upon by the Administration (see 4.2.6.2), assuming an initial condition of saturated vapour in the system at the system operating pressure and temperature; or 
.3. the MARVS of the cargo tanks and cargo processing systems; or 
.4. the pressure setting of the associated pump or compressor discharge relief valve; or 
.5. the maximum total discharge or loading head of the cargo piping system; or 
.6. the relief valve setting on a pipeline systems.</t>
  </si>
  <si>
    <t>Cargo and process piping - Wallthickness</t>
  </si>
  <si>
    <t>Cargo and process piping - Design pressure</t>
  </si>
  <si>
    <t xml:space="preserve">5.2.3.3. The design pressure should not be less than 10 bar gauge except for open-ended lines where it should be not less than 5 bar gauge. </t>
  </si>
  <si>
    <t>Cargo and process piping - Permissible stresses</t>
  </si>
  <si>
    <r>
      <t>5.2.4.1. For pipes, the permissible stress to be considered in the formula for t in 5.2.2.1 is the lower of the following values: 
R</t>
    </r>
    <r>
      <rPr>
        <vertAlign val="subscript"/>
        <sz val="10"/>
        <color theme="1"/>
        <rFont val="Arial"/>
        <family val="2"/>
      </rPr>
      <t>m</t>
    </r>
    <r>
      <rPr>
        <sz val="10"/>
        <color theme="1"/>
        <rFont val="Arial"/>
        <family val="2"/>
      </rPr>
      <t xml:space="preserve"> / A or R</t>
    </r>
    <r>
      <rPr>
        <vertAlign val="subscript"/>
        <sz val="10"/>
        <color theme="1"/>
        <rFont val="Arial"/>
        <family val="2"/>
      </rPr>
      <t>e</t>
    </r>
    <r>
      <rPr>
        <sz val="10"/>
        <color theme="1"/>
        <rFont val="Arial"/>
        <family val="2"/>
      </rPr>
      <t xml:space="preserve"> / B
where:
Rm = specified minimum tensile strength at room temperature (N/mm2)
Re = specified minimum yield stress at room temperature (N/mm2
). If the stress-strain curve does not show a defined yield 
stress, the 0.2% proof stress applies.
The values of A and B should be shown on the International Certificate of Fitness for the Carriage of Liquefied Gases in Bulk as provided for in 1.5 and have values of at least A = 2.7 and B = 1.8. </t>
    </r>
  </si>
  <si>
    <t xml:space="preserve">5.2.6.1. The choice and testing of materials used in piping systems should comply with the requirements of chapter 6 taking into account the minimum design temperature. However, some relaxation may be permitted in the quality of material of open-ended vent piping, provided the temperature of the cargo at the pressure relief valve setting is -55°C or greater and provided no liquid discharge to the vent piping can occur. Similar relaxations may be permitted under the same temperature conditions to open-ended piping inside cargo tanks, excluding discharge piping and all piping inside membrane and semi-membrane tanks. </t>
  </si>
  <si>
    <t>Cargo and process piping - Materials</t>
  </si>
  <si>
    <t>5.2.6.2. Materials having a melting point below 925°C should not be used for piping outside the cargo tanks except for short lengths of pipes attached to the cargo tanks, in which case fire-resisting insulation should be provided.</t>
  </si>
  <si>
    <t>5.3.1. Each type of piping component should be subject to type tests.</t>
  </si>
  <si>
    <t>Cargo and process piping - Type tests on piping components</t>
  </si>
  <si>
    <t xml:space="preserve">5.4.1. The requirements of this section apply to piping inside and outside the cargo tanks. Relaxations from these requirements may be accepted, in accordance with recognized standards, for piping inside cargo tanks and open-ended piping. </t>
  </si>
  <si>
    <t>Piping fabrication and joining details</t>
  </si>
  <si>
    <t xml:space="preserve">5.4.2. The following direct connection of pipe lengths, without flanges, may be considered: 
.1. Butt welded joints with complete penetration at the root may be used in all applications. For design temperatures below -10°C, butt welds should be either double welded or equivalent to a double welded butt joint. This may be accomplished by use of a backing ring, consumable insert or inert gas back-up on the first pass. For design pressures in excess of 10 bar and design temperatures of -10°C or lower, backing rings should be removed. 
.2. Slip-on welded joints with sleeves and related welding, having dimensions in accordance with recognized standards, should only be used for open-ended lines with external diameter of 50 mm or less and design temperatures not lower than -55°C. 
.3. Screwed couplings complying with recognized standards should only be used for accessory lines and instrumentation lines with external diameters of 25 mm or less. </t>
  </si>
  <si>
    <t>5.4.3.1. Flanges in flange connections should be of the welded neck, slip-on or socket welded type.</t>
  </si>
  <si>
    <t>5.4.3.2. Flanges should comply with recognized standards as to their type, manufacture and test. In particular, for all piping except open ended, the following restrictions apply: 
.1. For design temperatures lower than -55°C, only welded neck flanges should be used. 
.2. For design temperatures lower than -10°C, slip-on flanges should not be used in nominal sizes above 100 mm and socket welded flanges should not be used in nominal sizes above 50 mm.</t>
  </si>
  <si>
    <t>5.4.4. Piping connections, other than those mentioned in 5.4.2 and .3, may be accepted by the Administration in each case.</t>
  </si>
  <si>
    <t xml:space="preserve">5.4.5. Bellows and expansion joints should be provided to allow for expansion of piping. 
.1. If necessary, bellows should be protected against icing. 
.2. Slip joints should not be used except within the cargo tanks. </t>
  </si>
  <si>
    <t xml:space="preserve">5.4.6. Welding, post-weld heat treatment and non-destructive testing 
.1. Welding should be carried out in accordance with 6.3.
2. Post-weld heat treatment should be required for all butt welds of pipes made with carbon, carbon-manganese and low alloy steels. The Administration may waive the requirement for thermal stress relieving of pipes having wall thickness less than 10 mm in relation to the design temperature and pressure of the piping system concerned. 
.3. In addition to normal controls before and during the welding and to the visual inspection of the finished welds, as necessary for 
proving that the welding has been carried out correctly and according to the requirements of this paragraph, the following tests should be required: 
.3.1. 100% radiographic inspection of butt welded joints for piping systems with design temperatures lower than -10°C and with inside diameters of more than 75 mm or wall thicknesses greater than 10 mm. When such butt welded joints of piping sections are made by automatic welding procedures in the pipe fabrication shop, upon special approval by the Administration, the extent of radiographic inspection may be progressively reduced but in no case to less than 10% of each joint. If defects are revealed the extent of examination should be increased to 100% and should include inspection of previously accepted welds. This special approval can only be granted if well-documented quality assurance procedures and records are available to enable the Administration to assess the ability of the manufacturer to produce satisfactory welds consistently. 
.3.2. For other butt welded joints of pipes not covered by 5.4.6.3.1, spot radiographic tests or other non-destructive tests should be carried out at the discretion of the Administration depending upon service, position and materials. In general, at least 10% of butt welded joints of pipes should be radiographed. </t>
  </si>
  <si>
    <t>Inerting</t>
  </si>
  <si>
    <t xml:space="preserve">9.4.1. Inerting refers to the process of providing a non-combustible environment by the addition of compatible gases, which may be carried in storage vessels or produced on board the ship or supplied from the shore. The inert gases should be compatible chemically and operationally, at all temperatures likely to occur within the spaces to be inerted, with the materials of construction of the spaces and the cargo. The dew points of the gases should be taken into consideration. </t>
  </si>
  <si>
    <t>9.4.2. Where inert gas is also stored for fire-fighting purposes, it should be carried in separate containers and should not be used for cargo services.</t>
  </si>
  <si>
    <t>9.4.3. Where inert gas is stored at temperatures below 0°C, either as a liquid or as a vapour, the storage and supply system should be so designed that the temperature of the ship’s structure is not reduced below the limiting values imposed on it.</t>
  </si>
  <si>
    <t>9.4.4. Arrangements suitable for the cargo carried should be provided to prevent the backflow of cargo vapour into the inert gas system.</t>
  </si>
  <si>
    <t xml:space="preserve">9.4.5. The arrangements should be such that each space being inerted can be isolated and the necessary controls and relief valves etc. should be provided for controlling pressure in these spaces. </t>
  </si>
  <si>
    <t>Inert gas production on board</t>
  </si>
  <si>
    <t>9.5.1. The equipment should be capable of producing inert gas with an oxygen content at no time greater than 5% by volume subject to the special requirements of chapter 17. A continuous-reading oxygen content meter should be fitted to the inert gas supply from the equipment and should be fitted with an alarm set at a maximum of 5% oxygen content by volume subject to the requirements of chapter 17. Additionally, where inert gas is made by an on-board process of fractional distillation of air which involves the storage of the cryogenic liquefied nitrogen for subsequent release, the liquefied gas entering the storage vessel should be monitored for traces of oxygen to avoid possible initial high oxygen enrichment of the gas when released for inerting purposes.</t>
  </si>
  <si>
    <t xml:space="preserve">9.5.2. An inert gas system should have pressure controls and monitoring arrangements appropriate to the cargo containment system. A means acceptable to the Administration, located in the cargo area, of preventing the backflow of cargo gas should be provided. </t>
  </si>
  <si>
    <t>9.5.3. Spaces containing inert gas generating plants should have no direct access to accommodation spaces, service spaces or control stations, but may be located in machinery spaces. If such plants are located in machinery spaces or other spaces outside the cargo area, two non-return valves, or equivalent devices should be fitted in the inert gas main in the cargo area as required in 9.5.2. Inert gas piping should not pass through accommodation spaces, service spaces or control stations. When not in use, the inert gas system should be made separate from the cargo system in the cargo area except for connections to the hold spaces or interbarrier spaces.</t>
  </si>
  <si>
    <t xml:space="preserve">9.5.4. Flame burning equipment for generating inert gas should not be located within the cargo area. Special consideration may be given to the location of inert gas generating equipment using the catalytic combustion process. </t>
  </si>
  <si>
    <t>370
635</t>
  </si>
  <si>
    <t>17.3.2. Products should be carried in type C independent tanks and the provisions of 7.1.3 apply. The design pressure of the cargo tank should take into account any padding pressure or vapour discharge unloading pressure.</t>
  </si>
  <si>
    <t>17.5 Deck cargo piping 
. One hundred per cent radiography of all butt welded joints in cargo piping exceeding 75 mm in diameter is required.</t>
  </si>
  <si>
    <t>17.19  Materials of construction and ancillary equipment such as insulation should be resistant to the effects of high oxygen concentrations caused by condensation and enrichment at the low temperatures attained in parts of the cargo system. Due consideration should be given to ventilation in such areas where condensation might occur to avoid the stratification of oxygen-enriched atmosphere.</t>
  </si>
  <si>
    <t>Special Requirements - Nitrogen</t>
  </si>
  <si>
    <t>Special Requirements - NDT of deck cargo piping</t>
  </si>
  <si>
    <t>Special Requirements - Independent tanks, design pressure</t>
  </si>
  <si>
    <t>Special Requirements - Exclusion of air from vapour spaces</t>
  </si>
  <si>
    <t>17.6  Air should be removed from the cargo tanks and associated piping before loading and then subsequently excluded by: 
.1. introducing inert gas to maintain a positive pressure. Storage or production capacity of the inert gas should be sufficient to meet normal operating requirements and relief valve leakage. The oxygen content of inert gas should at no time be greater than 0.2% by volume; or 
.2. control of cargo temperatures such that a positive pressure is maintained at all times.</t>
  </si>
  <si>
    <t>17.7  For gases which are non-flammable and may become corrosive or react dangerously with water, moisture control should be provided to ensure that cargo tanks are dry before loading and that during discharge, dry air or cargo vapour is introduced to prevent negative pressures. For the purposes of this paragraph, dry air is air which has a dewpoint of -45°C or below at atmospheric pressure.</t>
  </si>
  <si>
    <t>Special Requirements - Moisture control</t>
  </si>
  <si>
    <t xml:space="preserve">Special Requirements - Flame screens on vent outlets </t>
  </si>
  <si>
    <t>17.10  Cargo tank vent outlets should be provided with readily renewable and effective flame screens or safety heads of an approved type when carrying a cargo referenced to this section. Due attention should be paid in the design of flame screens and vent heads to the possibility of the blockage of these devices by the freezing of cargo vapour or by icing up in adverse weather conditions. Ordinary protection screens should be fitted after removal of the flame screens.</t>
  </si>
  <si>
    <t>alls</t>
  </si>
  <si>
    <t>alls XX</t>
  </si>
  <si>
    <t xml:space="preserve">Ch II-2, Pt C, Reg 9, 7.2.4 As permitted by paragraphs 7.2.2 and 7.2.3 ducts shall be either: 
.1.1 constructed of steel having a thickness of at least 3 mm for ducts with a free cross-sectional area of less than 0.075 m2, at least 4 mm for ducts with a free cross-sectional area of between 0.075 m2 and 0.45 m2, and at least 5 mm for ducts with a free cross-sectional area of over 0.45 m2; 
.1.2 suitably supported and stiffened; 
.1.3 fitted with automatic fire dampers close to the boundaries penetrated; and 
.1.4 insulated to "A-60" class standard from the boundaries of the spaces they serve to a point at least 5 m beyond each fire damper; 
 or 
.2.1 constructed of steel in accordance with paragraphs 7.2.4.1.1 and 7.2.4.1.2; and 
.2.2 insulated to "A-60" class standard throughout the spaces they pass through, except for ducts that pass through spaces of category (9) or (10) as defined in paragraph 2.2.3.2.2. 
</t>
  </si>
  <si>
    <t>18.10.2.1.2 ESD valves shall be remotely operated, be of the fail-closed type (closed on loss of actuating power), be capable of local manual closure and have positive
indication of the actual valve position. As an alternative to the local manual closing of the ESD valve, a manually operated shut-off valve in series with the ESD valve shall be permitted. The manual valve shall be located adjacent to the ESD valve. Provisions shall be made to handle trapped liquid should the ESD valve close while the manual valve is also closed.</t>
  </si>
  <si>
    <t>18.10.2.1.3 ESD valves in liquid piping systems shall close fully and smoothly within 30 s of actuation. Information about the closure time of the valves and their operatingcharacteristics shall be available on board, and the closing time shall be verifiable and repeatable.</t>
  </si>
  <si>
    <t>ESD valve requirements</t>
  </si>
  <si>
    <t>690</t>
  </si>
  <si>
    <r>
      <t>LNG/NH</t>
    </r>
    <r>
      <rPr>
        <vertAlign val="subscript"/>
        <sz val="10"/>
        <color theme="1"/>
        <rFont val="Arial"/>
        <family val="2"/>
      </rPr>
      <t>3</t>
    </r>
    <r>
      <rPr>
        <sz val="10"/>
        <color theme="1"/>
        <rFont val="Arial"/>
        <family val="2"/>
      </rPr>
      <t xml:space="preserve"> system</t>
    </r>
  </si>
  <si>
    <t>18.10.2.2 One ESD valve shall be provided at each manifold connection. Cargo manifold connections not being used for transfer operations shall be blanked with blank flanges rated for the design pressure of the pipeline system.</t>
  </si>
  <si>
    <t>Ship-shore and ship-ship manifold connections</t>
  </si>
  <si>
    <t>5.5.1.2 In addition, remotely operated valves shall also be fitted, as appropriate, as part of the emergency shutdown (ESD) system the purpose of which is to stop cargo flowor leakage in the event of an emergency when cargo liquid or vapour transfer is in progress. The ESD system is intended to return the cargo system to a safe static condition so that any remedial action can be taken. Due regard shall be given in the design of the ESD system to avoid the generation of surge pressures within the cargo transfer pipework. The equipment to be shut down on ESD activation includes manifold valves during loading or discharge, any pump or compressor, etc., transferring cargo internally or externally (e.g. to shore or another ship/barge) and cargo tank valves, if the MARVS exceeds 0.07 MPa.</t>
  </si>
  <si>
    <t>Number of ESD valves</t>
  </si>
  <si>
    <t>Cargo manifold connections</t>
  </si>
  <si>
    <t>5.5.3.1 One remotely controlled ESD valve shall be provided at each cargo transfer connection in use to stop liquid and vapour transfer to or from the ship. Transfer connections not in use shall be isolated with suitable blank flanges.</t>
  </si>
  <si>
    <t>5.5.3.2 If the cargo tank MARVS exceeds 0.07 MPa, an additional manual valve shall be provided for each transfer connection in use, and may be inboard or outboard of the ESD valve to suit the ship's design.</t>
  </si>
  <si>
    <t>5.5.4 Excess flow valves may be used in lieu of ESD valves, if the diameter of the protected pipe does not exceed 50 mm. Excess flow valves shall close automatically at the rated closing flow of vapour or liquid as specified by the manufacturer. The piping including fittings, valves and appurtenances protected by an excess flow valve shall have a capacity greater than the rated closing flow of the excess flow valve. Excess flow valves may be designed with a bypass not exceeding the area of a 1 mm diameter circular opening to allow equalization of pressure after a shutdown activation.</t>
  </si>
  <si>
    <t>5.5.5 Cargo tank connections for gauging or measuring devices need not be equipped with excess flow valves or ESD valves, provided that the devices are constructed so that the outward flow of tank contents cannot exceed that passed by a 1.5 mm diameter circular hole.</t>
  </si>
  <si>
    <t>5.5.6 All pipelines or components which may be isolated in a liquid full condition shall be protected with relief valves for thermal expansion and evaporation.</t>
  </si>
  <si>
    <t>300
32x 
36x 
62x</t>
  </si>
  <si>
    <t>326</t>
  </si>
  <si>
    <t>LNG / Ammonia system</t>
  </si>
  <si>
    <t>326
741</t>
  </si>
  <si>
    <r>
      <t xml:space="preserve">IMO IGC / IGC Code / Resolution MSC.391(95)
</t>
    </r>
    <r>
      <rPr>
        <b/>
        <sz val="8"/>
        <color theme="1"/>
        <rFont val="Arial"/>
        <family val="2"/>
      </rPr>
      <t>(Liquefied Gases in Bulk)</t>
    </r>
  </si>
  <si>
    <t>ESD-protected machinery spaces</t>
  </si>
  <si>
    <t>Gas safe machinery space</t>
  </si>
  <si>
    <t>IGF 5.4 Arrangements in machinery spaces are such that the spaces are considered gas safe under all conditions, normal as well as abnormal conditions, i.e. inherently gas safe. A single failure cannot lead to release of fuel gas into the machinery space.</t>
  </si>
  <si>
    <t>IGF 5.6 ESD protection shall be limited to machinery spaces that are certified for periodically unattended operation.</t>
  </si>
  <si>
    <t>IGF 5.6 Measures shall be applied to protect against explosion, damage of areas outside of the machinery space and ensure redundancy of power supply. The following arrangement shall  be provided but may not be limited to:
1. gas detector;
2. shutoff valve;
3. redundancy; and
4. efficient ventilation.</t>
  </si>
  <si>
    <t>IGF 5.5.1  A single failure within the fuel system shall not lead to a gas release into the machinery space.</t>
  </si>
  <si>
    <t>ESD-protected machinery space - Gas supply piping without  a gastight external enclosure</t>
  </si>
  <si>
    <t>ESD-protected machinery space</t>
  </si>
  <si>
    <t>ESD-protected machinery space - Ventilation</t>
  </si>
  <si>
    <t>326
371</t>
  </si>
  <si>
    <t>IGF 5.5.2  All fuel piping within machinery space boundaries shall be enclosed in a gas tight  enclosure in accordance with 9.6.</t>
  </si>
  <si>
    <t>IGF 5.6.3.1  Engines for generating propulsion power and electric power shall be located in two or more machinery spaces not having any common boundaries unless it can be documented that a single casualty will not affect both spaces.</t>
  </si>
  <si>
    <t>IGF 5.6.3.2  The gas machinery space shall contain only a minimum of such necessary equipment, components and systems as are required to ensure that the gas  machinery maintains its function.</t>
  </si>
  <si>
    <t>IGF 5.6.3.3  A fixed gas detection system arranged to automatically shutdown the gas  supply,  and  disconnect  all  electrical  equipment  or  installations  not  of  a certified safe type, shall be fitted.</t>
  </si>
  <si>
    <t>IGF 5.6.4  Distribution of engines between the different machinery spaces shall be such that shutdown of fuel supply to any one machinery space does not lead to an unacceptable loss of power.</t>
  </si>
  <si>
    <t>IGF 5.6.7  The ventilation system of ESD-protected machinery spaces shall be arranged in accordance with 13.5.</t>
  </si>
  <si>
    <t>IGF 5.7.1  Fuel pipes shall not be located less than 800 mm from the ship's side.</t>
  </si>
  <si>
    <t xml:space="preserve">IGF </t>
  </si>
  <si>
    <t>IGF 5.7.2  Fuel piping shall not be led directly through accommodation spaces, service spaces, electrical equipment rooms or control stations as defined in the SOLAS Convention.</t>
  </si>
  <si>
    <t>Location and protection</t>
  </si>
  <si>
    <t>IGF 5.7.3  Fuel pipes led through ro-ro spaces, special category spaces and on open decks shall be protected against mechanical damage.</t>
  </si>
  <si>
    <t>IGF 5.7.4  Gas  fuel  piping  in  ESD  protected  machinery  spaces  shall  be  located  as  far  as practicable from the electrical installations and tanks containing flammable liquids.</t>
  </si>
  <si>
    <t>IGF 5.7.5  Gas  fuel  piping  in  ESD  protected  machinery  spaces  shall  be  protected  against mechanical damage.</t>
  </si>
  <si>
    <t>IGF 5.8 Fuel preparation rooms shall be located on an open deck, unless those rooms are arranged and fitted in accordance with the regulations of this Code for tank connection spaces.</t>
  </si>
  <si>
    <t>Fuel preparation room design</t>
  </si>
  <si>
    <t>IGF 5.9.1  Bilge systems installed in areas where fuel covered by this Code can be present shall be segregated from the bilge system of spaces where fuel cannot be present.</t>
  </si>
  <si>
    <t>IGF 5.9.2  Where  fuel  is  carried  in  a  fuel  containment  system  requiring  a  secondary  barrier, suitable drainage arrangements for dealing with any leakage into the hold or insulation spaces through the adjacent ship structure shall be provided. The bilge system shall not lead to pumps in safe spaces. Means of detecting such leakage shall be provided.</t>
  </si>
  <si>
    <t>IGF 5.9.3  The hold or interbarrier spaces of type A independent tanks for liquid gas shall be provided with a drainage system suitable for handling liquid fuel in the event of fuel tank leakage or rupture.</t>
  </si>
  <si>
    <t>311
326</t>
  </si>
  <si>
    <t>IGF 5.10.1  Drip trays shall be fitted where leakage may occur which can cause damage to the ship structure or where limitation of the area which is effected from a spill is necessary.</t>
  </si>
  <si>
    <t>Driptrays</t>
  </si>
  <si>
    <t>IGF 5.10.2  Drip trays shall be made of suitable material.</t>
  </si>
  <si>
    <t>IGF 5.10.3  The  drip  tray  shall  be  thermally  insulated  from  the  ship's  structure  so  that  the surrounding hull or deck structures are not exposed to unacceptable cooling, in case of leakage of liquid fuel.</t>
  </si>
  <si>
    <t>IGF 5.10.4  Each tray shall be fitted with a drain valve to enable rain water to be drained over the ship's side.</t>
  </si>
  <si>
    <t>IGF 5.10.5  Each tray shall have a sufficient capacity to ensure that the maximum amount of spill according to the risk assessment can be handled.</t>
  </si>
  <si>
    <t>IGF 5.12.2  Airlocks shall be mechanically ventilated at an overpressure relative to the adjacent hazardous area or space.</t>
  </si>
  <si>
    <t>Airlock</t>
  </si>
  <si>
    <t>IGF 6.3.1  Natural gas in a liquid state may be stored with a maximum allowable relief valve setting (MARVS) of up to 1.0 MPa.</t>
  </si>
  <si>
    <t>Pressure relief valve</t>
  </si>
  <si>
    <t>IGF 6.3.2  The Maximum Allowable Working Pressure (MAWP) of the gas  fuel tank shall not exceed 90% of the Maximum Allowable Relief Valve Setting (MARVS).</t>
  </si>
  <si>
    <t>IGF 6.3.3  A fuel containment system located below deck shall be gas tight towards adjacent spaces.</t>
  </si>
  <si>
    <t>Fuel pipe routing</t>
  </si>
  <si>
    <t>IGF 6.3.4  All tank connections, fittings, flanges and tank valves must be enclosed in gas tight tank connection spaces, unless the tank connections are on open deck. The space shall be able to safely contain leakage from the tank in case of leakage from the tank connections.</t>
  </si>
  <si>
    <t>IGF 6.3.5  Pipe connections to the fuel storage tank shall be mounted above the highest liquid level in the tanks, except for fuel storage tanks of type C. Connections below the highest liquid level may however also be accepted for other tank types after special consideration by the Administration.</t>
  </si>
  <si>
    <t>Tank connections</t>
  </si>
  <si>
    <t>IGF 6.3.6  Piping between the tank and the first valve which release liquid in case of pipe failure  shall have equivalent safety as the type C tank, with dynamic stress not exceeding the values given in 6.4.15.3.1.2.</t>
  </si>
  <si>
    <t>IGF 6.3.8  The probable maximum leakage into the tank connection space shall be determined based on detail design, detection and shutdown systems.</t>
  </si>
  <si>
    <t>Tank connection spaces</t>
  </si>
  <si>
    <t>IGF 6.3.9  If piping is connected below the liquid level of the tank it has to be protected by a secondary barrier up to the first valve.</t>
  </si>
  <si>
    <t>IGF 6.3.10  If liquefied gas fuel storage tanks are located on open deck the ship steel shall be protected from potential leakages from tank connections and other sources of leakage by use of drip trays. The material is to have a design temperature corresponding to the temperature of the fuel carried at atmospheric pressure. The normal operation pressure of the tanks shall be taken into consideration for protecting the steel structure of the ship.</t>
  </si>
  <si>
    <t>Driptray for storage tank</t>
  </si>
  <si>
    <t>IGF 6.3.12  It  shall  be  possible  to  empty,  purge  and  vent  fuel  storage  tanks  with  fuel  piping  systems. Instructions for carrying out these procedures must be available on board. Inerting shall  be  performed  with  an  inert  gas  prior  to  venting  with  dry  air  to  avoid  an  explosion hazardous atmosphere in tanks and fuel pipes. See detailed regulations in 6.10.</t>
  </si>
  <si>
    <t>326
622
635</t>
  </si>
  <si>
    <t>Purging &amp; venting of the storage tank</t>
  </si>
  <si>
    <t>IGF 6.4.2.1  The containment systems shall be provided with a complete secondary liquid-tight  barrier capable of safely containing all potential leakages through the primary barrier and, in conjunction with the thermal insulation system, of preventing lowering of the temperature of the ship structure to an unsafe level.</t>
  </si>
  <si>
    <t>Seggregation from bilge</t>
  </si>
  <si>
    <t>IGF 6.4.2.2  The size and configuration or arrangement of the secondary barrier may be reduced or omitted where an equivalent level of safety can be demonstrated in accordance with 6.4.2.3 to 6.4.2.5 as applicable.</t>
  </si>
  <si>
    <t>IGF 6.4.2.3  Liquefied gas fuel containment systems for which the probability for structural failures to  develop  into  a  critical  state  has  been  determined  to  be  extremely  low  but  where  the  possibility of leakages through the primary barrier cannot be excluded, shall be equipped with a partial secondary barrier and small leak protection system capable of safely handling and disposing  of  the  leakages  (a  critical  state  means  that  the  crack  develops  into  unstable condition).</t>
  </si>
  <si>
    <t>Fuel containment system - Secondary barrier</t>
  </si>
  <si>
    <t>Fuel containment system - Secondary barrier drainage</t>
  </si>
  <si>
    <t>IGF 6.4.2.4  No  secondary  barrier  is  required  for  liquefied  gas  fuel  containment  systems, e.g.  type  C  independent  tanks,  where  the  probability  for  structural  failures  and  leakages through the primary barrier is extremely low and can be neglected.</t>
  </si>
  <si>
    <t>IGF 6.4.2.5  For  independent  tanks requiring full  or  partial  secondary  barrier,  means for  safely disposing of leakages from the tank shall be arranged.</t>
  </si>
  <si>
    <t>Fuel containment system - Design of secondary barriers</t>
  </si>
  <si>
    <t>IGF 6.4.5.1  Partial  secondary  barriers  as  permitted  in  6.4.2.3  shall  be  used  with  a  small  leak protection system and meet all the regulations in 6.4.4.; The small leak protection system shall include means to detect a leak in the primary barrier, provision such as a spray shield to deflect any liquefied gas fuel down into the partial secondary barrier, and means to dispose of the liquid, which may be by natural evaporation.</t>
  </si>
  <si>
    <t>IGF 6.4.5.2  The capacity of the partial secondary barrier shall be determined, based on the liquefied gas fuel leakage corresponding to the extent of failure resulting from the load spectrum referred to in 6.4.12.2.6, after the initial detection of a primary leak. Due account may be taken of liquid evaporation, rate of leakage, pumping capacity and other relevant factors.</t>
  </si>
  <si>
    <t>IGF 6.4.5.3  The required liquid leakage detection may be by means of liquid sensors, or by an effective use of pressure, temperature or gas detection systems, or any combination thereof.</t>
  </si>
  <si>
    <t>IGF 6.4.13.3.2  Thermal  insulation  and  other  materials  used  in  liquefied  gas  fuel  containment systems shall have the following properties, as applicable, to ensure that they are adequate for the intended service:</t>
  </si>
  <si>
    <t>6.4.13.3.4  Due  to  location  or  environmental  conditions, thermal  insulation  materials  shall have  suitable  properties  of  resistance  to  fire  and  flame  spread  and  shall  be  adequately protected against penetration of water vapour and mechanical damage. Where the thermal insulation is located on or above the exposed deck, and in way of tank cover penetrations, it shall have suitable fire resistance properties in accordance with a recognized standard or be covered  with  a  material  having  low  flame  spread  characteristics  and  forming  an  efficient approved vapour seal.</t>
  </si>
  <si>
    <t>Thermal  insulation</t>
  </si>
  <si>
    <t>IGF 6.4.15.1.1.1  Type  A  independent  tanks  are  tanks  primarily  designed  using  classical ship-structural analysis procedures in accordance with the requirements of the Administration. Where such tanks are primarily constructed of plane surfaces, the design vapour pressure P0
shall be less than 0.07 MPa.</t>
  </si>
  <si>
    <t>Tank type A</t>
  </si>
  <si>
    <t>IGF 6.4.15.1.1.2  A  complete  secondary  barrier  is  required  as  defined  in  6.4.3.  The  secondary barrier shall be designed in accordance with 6.4.4.</t>
  </si>
  <si>
    <t>IGF 6.4.15.2.1.1  Type  B  independent  tanks  are  tanks  designed  using  model  tests,  refined  analytical  tools  and  analysis  methods  to  determine  stress  levels,  fatigue  life  and  crack propagation  characteristics.  Where  such  tanks  are  primarily  constructed  of  plane  surfaces (prismatic tanks) the design vapour pressure P0 shall be less than 0.07 MPa.</t>
  </si>
  <si>
    <t>Tank type B</t>
  </si>
  <si>
    <t>IGF 6.4.15.2.1.2  A  partial  secondary  barrier  with  a  protection  system  is  required  as  defined in 6.4.3. The small leak protection system shall be designed according to 6.4.5.</t>
  </si>
  <si>
    <t>IGF 6.4.15.3.1.1  The  design  basis  for  type  C  independent  tanks  is  based  on  pressure  vessel criteria modified to include fracture mechanics and crack propagation criteria. The minimum design  pressure  defined  in  6.4.15.3.1.2  is  intended  to  ensure  that  the  dynamic  stress  is sufficiently low so that an initial surface flaw will not propagate more than half the thickness of the shell during the lifetime of the tank.</t>
  </si>
  <si>
    <t>Tank type C</t>
  </si>
  <si>
    <t>IGF 6.7.1.1  All fuel storage tanks shall be provided with a pressure relief system appropriate to the design of the fuel containment system and the fuel being carried. Fuel storage hold spaces, interbarrier spaces, tank connection spaces and tank cofferdams, which may be  subject to  pressures beyond their design capabilities, shall also be provided with a suitable pressure relief system. Pressure control systems specified in 6.9 shall be independent of the pressure relief systems.</t>
  </si>
  <si>
    <t>Tank - Pressure relief system</t>
  </si>
  <si>
    <t>IGF 6.7.1.2  Fuel storage tanks which may be subject to external pressures above their design pressure shall be fitted with vacuum protection systems.</t>
  </si>
  <si>
    <t>IGF 6.7.2.2  Liquefied gas fuel tanks shall be fitted with a minimum of 2 pressure relief valves (PRVs) allowing for disconnection of one PRV in case of malfunction or leakage.</t>
  </si>
  <si>
    <t>IGF 6.7.2.3  Interbarrier  spaces  shall  be  provided  with  pressure  relief  devices.  For  membrane systems, the designer shall demonstrate adequate sizing of interbarrier space PRVs.</t>
  </si>
  <si>
    <t>IGF 6.7.2.4  The setting of the PRVs shall not be higher than the vapour pressure that has been used in the design of the tank. Valves comprising not more than 50% of the total relieving capacity  may  be  set  at  a  pressure  up  to  5%  above  MARVS  to  allow  sequential  lifting, minimizing unnecessary release of vapour.</t>
  </si>
  <si>
    <t>IGF 6.7.2.5  The following temperature regulations apply to PRVs fitted to pressure relief systems:
1. PRVs on fuel tanks with a design temperature below 0oC shall be designed and arranged to prevent their becoming inoperative due to ice formation;
2. the effects of ice formation due to ambient temperatures shall be considered in the construction and arrangement of PRVs;
3. PRVs shall be constructed of materials with a melting point above 925°C. Lower melting point materials for internal parts and seals may be accepted provided that fail-safe operation of the PRV is not compromised; and
4. sensing and exhaust lines on pilot operated relief valves shall be of suitably robust construction to prevent damage.</t>
  </si>
  <si>
    <t>IGF 6.7.2.6  In the event of a failure of a fuel tank PRV a safe means of emergency isolation shall be available.
1. procedures shall be provided and included in the operation manual (refer to chapter 18);
2. the procedures shall allow only one of the installed PRVs for the liquefied gas fuel tanks  to  be  isolated,  physical  interlocks  shall  be  included  to  this effect; and
3. isolation of the PRV shall be carried out under the supervision of the master.  This action shall be recorded in the ship's log, and at the PRV.</t>
  </si>
  <si>
    <t>IGF 6.7.2.7  Each pressure relief valve installed on a liquefied gas fuel tank shall be connected to  a venting system, which shall be:
1. so  constructed  that  the  discharge  will  be  unimpeded  and  normally  be directed vertically upwards at the exit;
2. arranged  to  minimize  the  possibility  of  water  or  snow  entering  the  vent system; and
3. arranged such that the height of vent exits shall normally not be less than B/3  or 6 m, whichever is the greater, above the weather deck and 6 m above working areas and walkways. However, vent mast height could be limited to lower value according to special consideration by the Administration.</t>
  </si>
  <si>
    <t>IGF 6.7.2.8  The outlet from the pressure relief valves shall normally be located at least 10 m from the nearest:
1. air  intake,  air  outlet  or  opening  to  accommodation,  service  and  control spaces, or other non-hazardous area; and
2. exhaust outlet from machinery installations.</t>
  </si>
  <si>
    <t>IGF 6.7.2.9  All  other  fuel  gas  vent  outlets  shall  also  be  arranged  in  accordance  with  6.7.2.7 and 6.7.2.8. Means shall be provided to prevent liquid overflow from gas vent outlets, due to hydrostatic pressure from spaces to which they are connected.</t>
  </si>
  <si>
    <t>IGF 6.7.2.10 In the vent piping system, means for draining liquid from places where it may accumulate shall be provided. The PRVs and piping shall be arranged so that liquid can, under no circumstances, accumulate in or near the PRVs.</t>
  </si>
  <si>
    <t>IGF 6.7.2.11 Suitable protection screens of not more than 13 mm square mesh shall be fitted on vent outlets to prevent the ingress of foreign objects without adversely affecting the flow.</t>
  </si>
  <si>
    <t>IGC 2.3.1. The provision and control of valves fitted to discharges led through the shell from spaces below the freeboard deck or from within the superstructures and deckhouses on the freeboard deck fitted with weathertight doors should comply with the requirements of the relevant regulation of the International Convention on Load Lines in force, except that the choice of valves should be limited to:
.1. one automatic non-return valve with a positive means of closing from above the freeboard deck; or
.2. where the vertical distance from the summer load waterline to the inboard end of the discharge pipe exceeds 0.01L, two automatic non-return valves without positive means of closing, provided that the inboard valve is always accessible for examination under service conditions.</t>
  </si>
  <si>
    <t>Discharges when having Ammonia</t>
  </si>
  <si>
    <t>Tank - Pressure relief system - Interbarrier spaces</t>
  </si>
  <si>
    <t>Tank - Pressure relief system - Setting of the PRV</t>
  </si>
  <si>
    <t>Tank - Pressure relief system - Temperature regulations</t>
  </si>
  <si>
    <t>Tank - Pressure relief system - Emergency isolation of the PRV</t>
  </si>
  <si>
    <t>Tank - Pressure relief system - Venting system</t>
  </si>
  <si>
    <t>Tank - Pressure relief system - Outlet of the PRV</t>
  </si>
  <si>
    <t>Tank - Pressure relief system - Other fuel gas vent outlets</t>
  </si>
  <si>
    <t xml:space="preserve">Tank - Pressure relief system - </t>
  </si>
  <si>
    <t>Tank - Pressure relief system - Drains</t>
  </si>
  <si>
    <t>Tank - Pressure relief system - Protection screens</t>
  </si>
  <si>
    <t>IGF 6.7.2.12 All vent piping shall be designed and arranged not to be damaged by the temperature variations to which it may be exposed, forces due to flow or the ship's motions.</t>
  </si>
  <si>
    <t>Tank - Pressure relief system - Protection against damage</t>
  </si>
  <si>
    <t>IGF 6.7.2.13 PRVs shall be connected to the highest part of the fuel tank. PRVs shall be positioned on the fuel tank so that they will remain in the vapour phase at the filling limit (FL) as given in 6.8, under conditions of 15° list and 0.015L trim, where L is defined in 2.2.25.</t>
  </si>
  <si>
    <t>Tank - Pressure relief system - Tank connection locations</t>
  </si>
  <si>
    <t xml:space="preserve">Tank - Sizing of pressure relief valves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</si>
</sst>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theme="1"/>
      <name val="Arial"/>
      <family val="2"/>
    </font>
    <font>
      <b/>
      <sz val="10"/>
      <color theme="1"/>
      <name val="Arial"/>
      <family val="2"/>
    </font>
    <font>
      <b/>
      <sz val="22"/>
      <color theme="1"/>
      <name val="Arial"/>
      <family val="2"/>
    </font>
    <font>
      <b/>
      <sz val="12"/>
      <color theme="1"/>
      <name val="Arial"/>
      <family val="2"/>
    </font>
    <font>
      <b/>
      <sz val="12"/>
      <name val="Arial"/>
      <family val="2"/>
    </font>
    <font>
      <b/>
      <sz val="11"/>
      <color theme="1"/>
      <name val="Arial"/>
      <family val="2"/>
    </font>
    <font>
      <b/>
      <sz val="14"/>
      <color theme="1"/>
      <name val="Arial"/>
      <family val="2"/>
    </font>
    <font>
      <u/>
      <sz val="10"/>
      <color theme="1"/>
      <name val="Arial"/>
      <family val="2"/>
    </font>
    <font>
      <b/>
      <sz val="8"/>
      <color theme="1"/>
      <name val="Arial"/>
      <family val="2"/>
    </font>
    <font>
      <vertAlign val="subscript"/>
      <sz val="10"/>
      <color theme="1"/>
      <name val="Arial"/>
      <family val="2"/>
    </font>
    <font>
      <sz val="10"/>
      <color theme="1"/>
      <name val="Aptos Narrow"/>
      <family val="2"/>
    </font>
    <font>
      <sz val="8.5"/>
      <color theme="1"/>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medium">
        <color theme="0" tint="-0.24994659260841701"/>
      </top>
      <bottom/>
      <diagonal/>
    </border>
    <border>
      <left/>
      <right/>
      <top style="thin">
        <color theme="0" tint="-0.24994659260841701"/>
      </top>
      <bottom/>
      <diagonal/>
    </border>
  </borders>
  <cellStyleXfs count="1">
    <xf numFmtId="0" fontId="0" fillId="0" borderId="0"/>
  </cellStyleXfs>
  <cellXfs count="49">
    <xf numFmtId="0" fontId="0" fillId="0" borderId="0" xfId="0"/>
    <xf numFmtId="0" fontId="1" fillId="0" borderId="0" xfId="0" applyFont="1"/>
    <xf numFmtId="0" fontId="0" fillId="0" borderId="0" xfId="0" applyAlignment="1">
      <alignment vertical="top" wrapText="1"/>
    </xf>
    <xf numFmtId="0" fontId="3" fillId="0" borderId="0" xfId="0" applyFont="1"/>
    <xf numFmtId="0" fontId="0" fillId="2" borderId="0" xfId="0" applyFill="1" applyAlignment="1">
      <alignment vertical="center"/>
    </xf>
    <xf numFmtId="49" fontId="0" fillId="0" borderId="0" xfId="0" applyNumberFormat="1" applyAlignment="1">
      <alignment vertical="top" wrapText="1"/>
    </xf>
    <xf numFmtId="49" fontId="0" fillId="0" borderId="0" xfId="0" applyNumberFormat="1" applyAlignment="1">
      <alignment horizontal="center" vertical="top" wrapText="1"/>
    </xf>
    <xf numFmtId="49" fontId="1" fillId="0" borderId="0" xfId="0" applyNumberFormat="1" applyFont="1" applyAlignment="1">
      <alignment horizontal="center"/>
    </xf>
    <xf numFmtId="49" fontId="0" fillId="0" borderId="0" xfId="0" applyNumberFormat="1" applyAlignment="1">
      <alignment horizontal="center"/>
    </xf>
    <xf numFmtId="0" fontId="5" fillId="0" borderId="0" xfId="0" applyFont="1"/>
    <xf numFmtId="49" fontId="0" fillId="0" borderId="1" xfId="0" applyNumberFormat="1" applyBorder="1" applyAlignment="1">
      <alignment horizontal="center" vertical="top" wrapText="1"/>
    </xf>
    <xf numFmtId="0" fontId="0" fillId="0" borderId="1" xfId="0" applyBorder="1" applyAlignment="1">
      <alignment vertical="top" wrapText="1"/>
    </xf>
    <xf numFmtId="49" fontId="0" fillId="0" borderId="1" xfId="0" applyNumberFormat="1" applyBorder="1" applyAlignment="1">
      <alignment vertical="top" wrapText="1"/>
    </xf>
    <xf numFmtId="0" fontId="0" fillId="0" borderId="2" xfId="0" applyBorder="1" applyAlignment="1">
      <alignment vertical="top" wrapText="1"/>
    </xf>
    <xf numFmtId="0" fontId="0" fillId="0" borderId="0" xfId="0" applyAlignment="1">
      <alignment wrapText="1"/>
    </xf>
    <xf numFmtId="0" fontId="5" fillId="0" borderId="0" xfId="0" applyFont="1" applyAlignment="1">
      <alignment vertical="center" wrapText="1"/>
    </xf>
    <xf numFmtId="0" fontId="5" fillId="0" borderId="0" xfId="0" applyFont="1" applyAlignment="1">
      <alignment vertical="top" wrapText="1"/>
    </xf>
    <xf numFmtId="14" fontId="0" fillId="0" borderId="0" xfId="0" applyNumberFormat="1" applyAlignment="1">
      <alignment horizontal="left" vertical="top"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wrapText="1"/>
    </xf>
    <xf numFmtId="0" fontId="5" fillId="0" borderId="0" xfId="0" applyFont="1" applyAlignment="1">
      <alignment horizontal="center" wrapText="1"/>
    </xf>
    <xf numFmtId="0" fontId="0" fillId="0" borderId="0" xfId="0" applyAlignment="1">
      <alignment horizontal="center" vertical="top" wrapText="1"/>
    </xf>
    <xf numFmtId="0" fontId="0" fillId="0" borderId="1" xfId="0" applyBorder="1" applyAlignment="1">
      <alignment horizontal="center" vertical="top" wrapText="1"/>
    </xf>
    <xf numFmtId="49" fontId="5" fillId="0" borderId="0" xfId="0" applyNumberFormat="1" applyFont="1" applyAlignment="1">
      <alignment horizontal="center" vertical="center" wrapText="1"/>
    </xf>
    <xf numFmtId="49" fontId="6" fillId="0" borderId="0" xfId="0" applyNumberFormat="1" applyFont="1" applyAlignment="1">
      <alignment horizontal="right" vertical="center" wrapText="1"/>
    </xf>
    <xf numFmtId="0" fontId="0" fillId="0" borderId="0" xfId="0" applyAlignment="1">
      <alignment vertical="top"/>
    </xf>
    <xf numFmtId="0" fontId="5" fillId="0" borderId="0" xfId="0" applyFont="1" applyAlignment="1">
      <alignment wrapText="1"/>
    </xf>
    <xf numFmtId="0" fontId="0" fillId="0" borderId="3" xfId="0" applyBorder="1" applyAlignment="1">
      <alignment vertical="top" wrapText="1"/>
    </xf>
    <xf numFmtId="0" fontId="6" fillId="0" borderId="1" xfId="0" applyFont="1" applyBorder="1"/>
    <xf numFmtId="0" fontId="6" fillId="0" borderId="1" xfId="0" applyFont="1" applyBorder="1" applyAlignment="1">
      <alignment wrapText="1"/>
    </xf>
    <xf numFmtId="0" fontId="6" fillId="0" borderId="1" xfId="0" applyFont="1" applyBorder="1" applyAlignment="1">
      <alignment horizontal="center" wrapText="1"/>
    </xf>
    <xf numFmtId="0" fontId="5" fillId="0" borderId="1" xfId="0" applyFont="1" applyBorder="1" applyAlignment="1">
      <alignment wrapText="1"/>
    </xf>
    <xf numFmtId="0" fontId="0" fillId="0" borderId="1" xfId="0" applyBorder="1" applyAlignment="1">
      <alignment horizontal="center" wrapText="1"/>
    </xf>
    <xf numFmtId="0" fontId="5" fillId="0" borderId="1" xfId="0" applyFont="1" applyBorder="1" applyAlignment="1">
      <alignment horizontal="center" wrapText="1"/>
    </xf>
    <xf numFmtId="49" fontId="1" fillId="0" borderId="1" xfId="0" applyNumberFormat="1" applyFont="1" applyBorder="1" applyAlignment="1">
      <alignment horizontal="center" vertical="top" wrapText="1"/>
    </xf>
    <xf numFmtId="49" fontId="6" fillId="0" borderId="1" xfId="0" applyNumberFormat="1" applyFont="1" applyBorder="1" applyAlignment="1">
      <alignment horizontal="center" vertical="top" wrapText="1"/>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6" fillId="0" borderId="1" xfId="0" applyFont="1" applyBorder="1" applyAlignment="1">
      <alignment horizontal="left" vertical="top" wrapText="1"/>
    </xf>
    <xf numFmtId="0" fontId="0" fillId="0" borderId="0" xfId="0" applyAlignment="1">
      <alignment horizontal="left" vertical="top" wrapText="1"/>
    </xf>
    <xf numFmtId="0" fontId="0" fillId="0" borderId="0" xfId="0"/>
    <xf numFmtId="0" fontId="7" fillId="0" borderId="0" xfId="0" applyFont="1" applyAlignment="1">
      <alignment vertical="top" wrapText="1"/>
    </xf>
    <xf numFmtId="0" fontId="6" fillId="0" borderId="0" xfId="0" applyFont="1" applyAlignment="1">
      <alignment vertical="center" wrapText="1"/>
    </xf>
    <xf numFmtId="0" fontId="3" fillId="0" borderId="0" xfId="0" applyFont="1" applyAlignment="1">
      <alignment horizontal="center"/>
    </xf>
    <xf numFmtId="0" fontId="2" fillId="2" borderId="0" xfId="0" applyFont="1" applyFill="1" applyAlignment="1">
      <alignment horizontal="center" vertical="center"/>
    </xf>
    <xf numFmtId="0" fontId="4" fillId="0" borderId="0" xfId="0" applyFont="1" applyAlignment="1">
      <alignment horizontal="center" wrapText="1"/>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14</xdr:col>
      <xdr:colOff>103771</xdr:colOff>
      <xdr:row>55</xdr:row>
      <xdr:rowOff>103669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09600" y="161925"/>
          <a:ext cx="8028571" cy="8847619"/>
        </a:xfrm>
        <a:prstGeom prst="rect">
          <a:avLst/>
        </a:prstGeom>
      </xdr:spPr>
    </xdr:pic>
    <xdr:clientData/>
  </xdr:twoCellAnchor>
  <xdr:twoCellAnchor editAs="oneCell">
    <xdr:from>
      <xdr:col>15</xdr:col>
      <xdr:colOff>0</xdr:colOff>
      <xdr:row>1</xdr:row>
      <xdr:rowOff>0</xdr:rowOff>
    </xdr:from>
    <xdr:to>
      <xdr:col>26</xdr:col>
      <xdr:colOff>332495</xdr:colOff>
      <xdr:row>33</xdr:row>
      <xdr:rowOff>113638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9144000" y="161925"/>
          <a:ext cx="7038095" cy="5295238"/>
        </a:xfrm>
        <a:prstGeom prst="rect">
          <a:avLst/>
        </a:prstGeom>
      </xdr:spPr>
    </xdr:pic>
    <xdr:clientData/>
  </xdr:twoCellAnchor>
  <xdr:twoCellAnchor editAs="oneCell">
    <xdr:from>
      <xdr:col>15</xdr:col>
      <xdr:colOff>0</xdr:colOff>
      <xdr:row>35</xdr:row>
      <xdr:rowOff>0</xdr:rowOff>
    </xdr:from>
    <xdr:to>
      <xdr:col>28</xdr:col>
      <xdr:colOff>122819</xdr:colOff>
      <xdr:row>68</xdr:row>
      <xdr:rowOff>123142</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9144000" y="5667375"/>
          <a:ext cx="8047619" cy="5466667"/>
        </a:xfrm>
        <a:prstGeom prst="rect">
          <a:avLst/>
        </a:prstGeom>
      </xdr:spPr>
    </xdr:pic>
    <xdr:clientData/>
  </xdr:twoCellAnchor>
  <xdr:twoCellAnchor editAs="oneCell">
    <xdr:from>
      <xdr:col>0</xdr:col>
      <xdr:colOff>0</xdr:colOff>
      <xdr:row>73</xdr:row>
      <xdr:rowOff>0</xdr:rowOff>
    </xdr:from>
    <xdr:to>
      <xdr:col>7</xdr:col>
      <xdr:colOff>151848</xdr:colOff>
      <xdr:row>97</xdr:row>
      <xdr:rowOff>37609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a:fillRect/>
        </a:stretch>
      </xdr:blipFill>
      <xdr:spPr>
        <a:xfrm>
          <a:off x="0" y="12506325"/>
          <a:ext cx="4419048" cy="3923809"/>
        </a:xfrm>
        <a:prstGeom prst="rect">
          <a:avLst/>
        </a:prstGeom>
      </xdr:spPr>
    </xdr:pic>
    <xdr:clientData/>
  </xdr:twoCellAnchor>
  <xdr:twoCellAnchor editAs="oneCell">
    <xdr:from>
      <xdr:col>8</xdr:col>
      <xdr:colOff>0</xdr:colOff>
      <xdr:row>73</xdr:row>
      <xdr:rowOff>0</xdr:rowOff>
    </xdr:from>
    <xdr:to>
      <xdr:col>16</xdr:col>
      <xdr:colOff>266057</xdr:colOff>
      <xdr:row>95</xdr:row>
      <xdr:rowOff>113840</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5"/>
        <a:stretch>
          <a:fillRect/>
        </a:stretch>
      </xdr:blipFill>
      <xdr:spPr>
        <a:xfrm>
          <a:off x="4876800" y="12506325"/>
          <a:ext cx="5142857" cy="3676190"/>
        </a:xfrm>
        <a:prstGeom prst="rect">
          <a:avLst/>
        </a:prstGeom>
      </xdr:spPr>
    </xdr:pic>
    <xdr:clientData/>
  </xdr:twoCellAnchor>
  <xdr:twoCellAnchor editAs="oneCell">
    <xdr:from>
      <xdr:col>17</xdr:col>
      <xdr:colOff>0</xdr:colOff>
      <xdr:row>73</xdr:row>
      <xdr:rowOff>0</xdr:rowOff>
    </xdr:from>
    <xdr:to>
      <xdr:col>21</xdr:col>
      <xdr:colOff>113981</xdr:colOff>
      <xdr:row>94</xdr:row>
      <xdr:rowOff>113861</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6"/>
        <a:stretch>
          <a:fillRect/>
        </a:stretch>
      </xdr:blipFill>
      <xdr:spPr>
        <a:xfrm>
          <a:off x="10363200" y="12544425"/>
          <a:ext cx="2552381" cy="3514286"/>
        </a:xfrm>
        <a:prstGeom prst="rect">
          <a:avLst/>
        </a:prstGeom>
      </xdr:spPr>
    </xdr:pic>
    <xdr:clientData/>
  </xdr:twoCellAnchor>
  <xdr:twoCellAnchor editAs="oneCell">
    <xdr:from>
      <xdr:col>22</xdr:col>
      <xdr:colOff>0</xdr:colOff>
      <xdr:row>73</xdr:row>
      <xdr:rowOff>0</xdr:rowOff>
    </xdr:from>
    <xdr:to>
      <xdr:col>33</xdr:col>
      <xdr:colOff>456305</xdr:colOff>
      <xdr:row>104</xdr:row>
      <xdr:rowOff>113658</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7"/>
        <a:stretch>
          <a:fillRect/>
        </a:stretch>
      </xdr:blipFill>
      <xdr:spPr>
        <a:xfrm>
          <a:off x="13411200" y="12544425"/>
          <a:ext cx="7161905" cy="5133333"/>
        </a:xfrm>
        <a:prstGeom prst="rect">
          <a:avLst/>
        </a:prstGeom>
      </xdr:spPr>
    </xdr:pic>
    <xdr:clientData/>
  </xdr:twoCellAnchor>
  <xdr:twoCellAnchor editAs="oneCell">
    <xdr:from>
      <xdr:col>35</xdr:col>
      <xdr:colOff>0</xdr:colOff>
      <xdr:row>73</xdr:row>
      <xdr:rowOff>0</xdr:rowOff>
    </xdr:from>
    <xdr:to>
      <xdr:col>46</xdr:col>
      <xdr:colOff>399162</xdr:colOff>
      <xdr:row>109</xdr:row>
      <xdr:rowOff>123081</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8"/>
        <a:stretch>
          <a:fillRect/>
        </a:stretch>
      </xdr:blipFill>
      <xdr:spPr>
        <a:xfrm>
          <a:off x="21336000" y="12544425"/>
          <a:ext cx="7104762" cy="59523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25"/>
  <sheetViews>
    <sheetView workbookViewId="0">
      <selection activeCell="E15" sqref="E15"/>
    </sheetView>
  </sheetViews>
  <sheetFormatPr defaultRowHeight="12.75"/>
  <sheetData>
    <row r="3" spans="2:14">
      <c r="B3" t="s">
        <v>1352</v>
      </c>
    </row>
    <row r="5" spans="2:14">
      <c r="B5" t="s">
        <v>1828</v>
      </c>
      <c r="E5" t="s">
        <v>0</v>
      </c>
    </row>
    <row r="6" spans="2:14">
      <c r="B6" t="s">
        <v>1353</v>
      </c>
      <c r="E6" s="42" t="s">
        <v>1354</v>
      </c>
      <c r="F6" s="42"/>
      <c r="G6" s="42"/>
      <c r="H6" s="42"/>
      <c r="I6" s="42"/>
      <c r="J6" s="42"/>
      <c r="K6" s="42"/>
      <c r="L6" s="42"/>
      <c r="M6" s="42"/>
      <c r="N6" s="42"/>
    </row>
    <row r="8" spans="2:14">
      <c r="B8" t="s">
        <v>1366</v>
      </c>
      <c r="E8" t="s">
        <v>1827</v>
      </c>
    </row>
    <row r="15" spans="2:14">
      <c r="B15" t="s">
        <v>1451</v>
      </c>
      <c r="E15" t="str">
        <f>IF(E8="SHELTERED AREA","No (Chapter I, Regulation 1 - Application 
  (a) Unless expressly provided otherwise, the present regulations apply only to ships engaged on international voyages).","Yes.")</f>
        <v>No (Chapter I, Regulation 1 - Application 
  (a) Unless expressly provided otherwise, the present regulations apply only to ships engaged on international voyages).</v>
      </c>
    </row>
    <row r="17" spans="2:5">
      <c r="B17" t="s">
        <v>1398</v>
      </c>
      <c r="E17" t="s">
        <v>1400</v>
      </c>
    </row>
    <row r="19" spans="2:5">
      <c r="B19" t="s">
        <v>1403</v>
      </c>
      <c r="E19">
        <v>48</v>
      </c>
    </row>
    <row r="21" spans="2:5">
      <c r="B21" t="s">
        <v>1404</v>
      </c>
      <c r="E21">
        <v>0</v>
      </c>
    </row>
    <row r="23" spans="2:5">
      <c r="B23" t="s">
        <v>1409</v>
      </c>
      <c r="E23" t="s">
        <v>1400</v>
      </c>
    </row>
    <row r="25" spans="2:5">
      <c r="B25" t="s">
        <v>1412</v>
      </c>
      <c r="E25" t="s">
        <v>1401</v>
      </c>
    </row>
  </sheetData>
  <mergeCells count="1">
    <mergeCell ref="E6:N6"/>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Data!$B$7:$B$17</xm:f>
          </x14:formula1>
          <xm:sqref>E6:N6</xm:sqref>
        </x14:dataValidation>
        <x14:dataValidation type="list" allowBlank="1" showInputMessage="1" showErrorMessage="1" xr:uid="{00000000-0002-0000-0000-000001000000}">
          <x14:formula1>
            <xm:f>Data!$B$22:$B$63</xm:f>
          </x14:formula1>
          <xm:sqref>E8:E13</xm:sqref>
        </x14:dataValidation>
        <x14:dataValidation type="list" allowBlank="1" showInputMessage="1" showErrorMessage="1" xr:uid="{00000000-0002-0000-0000-000002000000}">
          <x14:formula1>
            <xm:f>Data!$B$3:$B$4</xm:f>
          </x14:formula1>
          <xm:sqref>E17 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K12"/>
  <sheetViews>
    <sheetView zoomScale="115" zoomScaleNormal="115" workbookViewId="0">
      <selection activeCell="C12" sqref="C12"/>
    </sheetView>
  </sheetViews>
  <sheetFormatPr defaultColWidth="9.140625" defaultRowHeight="12.75"/>
  <cols>
    <col min="1" max="1" width="6.85546875" style="6" customWidth="1"/>
    <col min="2" max="2" width="19.5703125" style="2" customWidth="1"/>
    <col min="3" max="3" width="18.5703125" style="2" customWidth="1"/>
    <col min="4" max="4" width="21.85546875" style="2" customWidth="1"/>
    <col min="5" max="5" width="11.42578125" style="5" customWidth="1"/>
    <col min="6" max="6" width="14.28515625" style="2" customWidth="1"/>
    <col min="7" max="7" width="65.42578125" style="2" customWidth="1"/>
    <col min="8" max="8" width="61.42578125" style="2" customWidth="1"/>
    <col min="9" max="9" width="52.42578125" style="2" customWidth="1"/>
    <col min="10" max="11" width="4.5703125" style="23" customWidth="1"/>
    <col min="12" max="16384" width="9.140625" style="2"/>
  </cols>
  <sheetData>
    <row r="1" spans="1:11" s="13" customFormat="1">
      <c r="J1" s="21"/>
      <c r="K1" s="21"/>
    </row>
    <row r="2" spans="1:11" s="15" customFormat="1" ht="26.25" customHeight="1">
      <c r="B2" s="25" t="s">
        <v>797</v>
      </c>
      <c r="C2" s="44" t="str">
        <f>IFERROR(VLOOKUP(B2,Systems!A:B,2,FALSE),"Various")</f>
        <v>Working / control air system</v>
      </c>
      <c r="D2" s="44"/>
      <c r="E2" s="44"/>
      <c r="F2" s="44"/>
      <c r="G2" s="26" t="str">
        <f>B2</f>
        <v>622</v>
      </c>
      <c r="J2" s="22"/>
      <c r="K2" s="22"/>
    </row>
    <row r="3" spans="1:11" s="16" customFormat="1" ht="6" customHeight="1">
      <c r="J3" s="22"/>
      <c r="K3" s="22"/>
    </row>
    <row r="4" spans="1:11">
      <c r="A4" s="2"/>
      <c r="C4" s="43" t="s">
        <v>201</v>
      </c>
      <c r="D4" s="43"/>
      <c r="E4" s="2"/>
      <c r="F4" s="43" t="s">
        <v>194</v>
      </c>
      <c r="G4" s="43"/>
      <c r="J4" s="21"/>
      <c r="K4" s="21"/>
    </row>
    <row r="5" spans="1:11">
      <c r="A5" s="2"/>
      <c r="C5" s="2" t="s">
        <v>198</v>
      </c>
      <c r="D5" s="5">
        <v>0</v>
      </c>
      <c r="E5" s="2"/>
      <c r="F5" s="2" t="s">
        <v>197</v>
      </c>
      <c r="G5" s="5" t="s">
        <v>221</v>
      </c>
      <c r="J5" s="21"/>
      <c r="K5" s="21"/>
    </row>
    <row r="6" spans="1:11">
      <c r="A6" s="2"/>
      <c r="C6" s="2" t="s">
        <v>199</v>
      </c>
      <c r="D6" s="17">
        <v>43157</v>
      </c>
      <c r="E6" s="2"/>
      <c r="F6" s="2" t="s">
        <v>196</v>
      </c>
      <c r="G6" s="5" t="s">
        <v>200</v>
      </c>
      <c r="J6" s="21"/>
      <c r="K6" s="21"/>
    </row>
    <row r="7" spans="1:11">
      <c r="A7" s="2"/>
      <c r="C7" s="2" t="s">
        <v>213</v>
      </c>
      <c r="D7" s="2" t="s">
        <v>214</v>
      </c>
      <c r="E7" s="2"/>
      <c r="J7" s="21"/>
      <c r="K7" s="21"/>
    </row>
    <row r="8" spans="1:11">
      <c r="A8" s="2"/>
      <c r="E8" s="2"/>
      <c r="F8" s="2" t="s">
        <v>216</v>
      </c>
      <c r="G8" s="2" t="s">
        <v>0</v>
      </c>
      <c r="J8" s="21"/>
      <c r="K8" s="21"/>
    </row>
    <row r="9" spans="1:11" ht="25.5">
      <c r="A9" s="2"/>
      <c r="C9" s="14" t="s">
        <v>218</v>
      </c>
      <c r="D9" s="14" t="s">
        <v>219</v>
      </c>
      <c r="E9" s="2"/>
      <c r="F9" s="2" t="s">
        <v>215</v>
      </c>
      <c r="G9" s="2" t="s">
        <v>1214</v>
      </c>
      <c r="J9" s="21"/>
      <c r="K9" s="21"/>
    </row>
    <row r="10" spans="1:11">
      <c r="A10" s="2"/>
      <c r="C10" s="2" t="s">
        <v>195</v>
      </c>
      <c r="D10" s="2" t="s">
        <v>220</v>
      </c>
      <c r="E10" s="2"/>
      <c r="F10" s="2" t="s">
        <v>222</v>
      </c>
      <c r="G10" s="2" t="s">
        <v>223</v>
      </c>
      <c r="J10" s="21"/>
      <c r="K10" s="21"/>
    </row>
    <row r="11" spans="1:11">
      <c r="A11" s="2"/>
      <c r="C11" s="2" t="s">
        <v>217</v>
      </c>
      <c r="D11" s="5">
        <v>539317</v>
      </c>
      <c r="E11" s="2"/>
    </row>
    <row r="12" spans="1:11">
      <c r="A12" s="2"/>
      <c r="E12" s="2"/>
      <c r="J12" s="21"/>
      <c r="K12" s="21"/>
    </row>
  </sheetData>
  <mergeCells count="3">
    <mergeCell ref="C4:D4"/>
    <mergeCell ref="F4:G4"/>
    <mergeCell ref="C2:F2"/>
  </mergeCells>
  <pageMargins left="0.70866141732283472" right="0.70866141732283472" top="0.74803149606299213" bottom="0.74803149606299213" header="0.31496062992125984" footer="0.31496062992125984"/>
  <pageSetup paperSize="9" scale="54" fitToHeight="0" orientation="landscape" verticalDpi="200" r:id="rId1"/>
  <headerFooter>
    <oddHeader>&amp;L&amp;G
&amp;"Arial,Bold"&amp;11&amp;K00-033DAMEN SHIPYARDS GROUP</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V1131"/>
  <sheetViews>
    <sheetView tabSelected="1" zoomScaleNormal="100" workbookViewId="0">
      <pane xSplit="3" ySplit="1" topLeftCell="D1115" activePane="bottomRight" state="frozen"/>
      <selection pane="topRight" activeCell="D1" sqref="D1"/>
      <selection pane="bottomLeft" activeCell="A2" sqref="A2"/>
      <selection pane="bottomRight" activeCell="D1122" sqref="D1122"/>
    </sheetView>
  </sheetViews>
  <sheetFormatPr defaultColWidth="9.140625" defaultRowHeight="12.75" outlineLevelCol="1"/>
  <cols>
    <col min="1" max="1" width="6.7109375" style="6" customWidth="1"/>
    <col min="2" max="2" width="19.5703125" style="2" customWidth="1"/>
    <col min="3" max="3" width="22.7109375" style="2" customWidth="1"/>
    <col min="4" max="4" width="49.28515625" style="2" customWidth="1" outlineLevel="1"/>
    <col min="5" max="5" width="26.140625" style="2" customWidth="1" outlineLevel="1"/>
    <col min="6" max="6" width="23.7109375" style="23" customWidth="1"/>
    <col min="7" max="7" width="54.42578125" style="41" customWidth="1"/>
    <col min="8" max="8" width="60.7109375" style="2" customWidth="1" outlineLevel="1"/>
    <col min="9" max="10" width="60.7109375" style="2" customWidth="1"/>
    <col min="11" max="11" width="54.7109375" style="2" customWidth="1"/>
    <col min="12" max="12" width="53.5703125" style="2" customWidth="1"/>
    <col min="13" max="13" width="59.140625" style="2" customWidth="1" outlineLevel="1"/>
    <col min="14" max="14" width="36.85546875" style="2" customWidth="1" outlineLevel="1"/>
    <col min="15" max="15" width="133.7109375" style="2" customWidth="1" outlineLevel="1"/>
    <col min="16" max="16" width="100.7109375" style="2" customWidth="1" outlineLevel="1"/>
    <col min="17" max="17" width="60.7109375" style="2" customWidth="1" outlineLevel="1"/>
    <col min="18" max="18" width="30.42578125" style="2" customWidth="1" outlineLevel="1"/>
    <col min="19" max="22" width="3.7109375" style="23" customWidth="1"/>
    <col min="23" max="16384" width="9.140625" style="2"/>
  </cols>
  <sheetData>
    <row r="1" spans="1:22" ht="38.25">
      <c r="A1" s="36" t="s">
        <v>2326</v>
      </c>
      <c r="B1" s="18" t="s">
        <v>7</v>
      </c>
      <c r="C1" s="18" t="s">
        <v>63</v>
      </c>
      <c r="D1" s="18" t="s">
        <v>1888</v>
      </c>
      <c r="E1" s="18" t="s">
        <v>1932</v>
      </c>
      <c r="F1" s="20" t="s">
        <v>2325</v>
      </c>
      <c r="G1" s="20" t="s">
        <v>2416</v>
      </c>
      <c r="H1" s="18" t="s">
        <v>1960</v>
      </c>
      <c r="I1" s="18" t="s">
        <v>2170</v>
      </c>
      <c r="J1" s="18" t="s">
        <v>1961</v>
      </c>
      <c r="K1" s="18" t="s">
        <v>1958</v>
      </c>
      <c r="L1" s="18" t="s">
        <v>1451</v>
      </c>
      <c r="M1" s="18" t="s">
        <v>244</v>
      </c>
      <c r="N1" s="18" t="s">
        <v>880</v>
      </c>
      <c r="O1" s="18" t="s">
        <v>229</v>
      </c>
      <c r="P1" s="18" t="s">
        <v>226</v>
      </c>
      <c r="Q1" s="18" t="s">
        <v>1780</v>
      </c>
      <c r="R1" s="18" t="s">
        <v>1398</v>
      </c>
      <c r="S1" s="20" t="s">
        <v>29</v>
      </c>
      <c r="T1" s="20" t="s">
        <v>245</v>
      </c>
      <c r="U1" s="20" t="s">
        <v>876</v>
      </c>
      <c r="V1" s="20" t="s">
        <v>1436</v>
      </c>
    </row>
    <row r="2" spans="1:22">
      <c r="A2" s="10"/>
      <c r="B2" s="11"/>
      <c r="C2" s="11"/>
      <c r="D2" s="11"/>
      <c r="E2" s="11"/>
      <c r="F2" s="24"/>
      <c r="G2" s="38"/>
      <c r="H2" s="11" t="s">
        <v>2050</v>
      </c>
      <c r="I2" s="11"/>
      <c r="J2" s="11"/>
      <c r="K2" s="11"/>
      <c r="L2" s="11"/>
      <c r="M2" s="11"/>
      <c r="N2" s="11"/>
      <c r="O2" s="11"/>
      <c r="P2" s="11"/>
      <c r="Q2" s="11"/>
      <c r="R2" s="11"/>
      <c r="S2" s="24" t="s">
        <v>30</v>
      </c>
      <c r="T2" s="24"/>
      <c r="U2" s="24" t="str">
        <f t="shared" ref="U2:U30" si="0">IF(OR(NOT(H2=""),NOT(M2="")),"","x")</f>
        <v/>
      </c>
      <c r="V2" s="24"/>
    </row>
    <row r="3" spans="1:22" s="29" customFormat="1" ht="51">
      <c r="A3" s="10" t="s">
        <v>433</v>
      </c>
      <c r="B3" s="11" t="str">
        <f>IFERROR(VLOOKUP(A3,Systems!A:B,2,FALSE),"Various")</f>
        <v>Ventilation system</v>
      </c>
      <c r="C3" s="11" t="s">
        <v>1835</v>
      </c>
      <c r="D3" s="11"/>
      <c r="E3" s="11"/>
      <c r="F3" s="24" t="s">
        <v>1064</v>
      </c>
      <c r="G3" s="38"/>
      <c r="H3" s="11" t="s">
        <v>1836</v>
      </c>
      <c r="I3" s="11"/>
      <c r="J3" s="11"/>
      <c r="K3" s="11"/>
      <c r="L3" s="11"/>
      <c r="M3" s="11"/>
      <c r="N3" s="11"/>
      <c r="O3" s="11"/>
      <c r="P3" s="11"/>
      <c r="Q3" s="11"/>
      <c r="R3" s="11"/>
      <c r="S3" s="24"/>
      <c r="T3" s="24"/>
      <c r="U3" s="24" t="str">
        <f t="shared" si="0"/>
        <v/>
      </c>
      <c r="V3" s="24"/>
    </row>
    <row r="4" spans="1:22" s="28" customFormat="1" ht="26.25" customHeight="1">
      <c r="A4" s="10" t="s">
        <v>433</v>
      </c>
      <c r="B4" s="11" t="str">
        <f>IFERROR(VLOOKUP(A4,Systems!A:B,2,FALSE),"Various")</f>
        <v>Ventilation system</v>
      </c>
      <c r="C4" s="11" t="s">
        <v>1835</v>
      </c>
      <c r="D4" s="11"/>
      <c r="E4" s="11"/>
      <c r="F4" s="24" t="s">
        <v>1064</v>
      </c>
      <c r="G4" s="38"/>
      <c r="H4" s="11" t="s">
        <v>1837</v>
      </c>
      <c r="I4" s="11"/>
      <c r="J4" s="11"/>
      <c r="K4" s="11"/>
      <c r="L4" s="11"/>
      <c r="M4" s="11"/>
      <c r="N4" s="11"/>
      <c r="O4" s="11"/>
      <c r="P4" s="11"/>
      <c r="Q4" s="11"/>
      <c r="R4" s="11"/>
      <c r="S4" s="24" t="s">
        <v>30</v>
      </c>
      <c r="T4" s="24" t="s">
        <v>30</v>
      </c>
      <c r="U4" s="24" t="str">
        <f t="shared" si="0"/>
        <v/>
      </c>
      <c r="V4" s="24"/>
    </row>
    <row r="5" spans="1:22" s="16" customFormat="1" ht="127.5">
      <c r="A5" s="10" t="s">
        <v>433</v>
      </c>
      <c r="B5" s="11" t="str">
        <f>IFERROR(VLOOKUP(A5,Systems!A:B,2,FALSE),"Various")</f>
        <v>Ventilation system</v>
      </c>
      <c r="C5" s="11" t="s">
        <v>1414</v>
      </c>
      <c r="D5" s="11"/>
      <c r="E5" s="11"/>
      <c r="F5" s="24" t="s">
        <v>1064</v>
      </c>
      <c r="G5" s="38"/>
      <c r="H5" s="11" t="s">
        <v>1559</v>
      </c>
      <c r="I5" s="11"/>
      <c r="J5" s="11"/>
      <c r="K5" s="11"/>
      <c r="L5" s="11"/>
      <c r="M5" s="11"/>
      <c r="N5" s="11"/>
      <c r="O5" s="11"/>
      <c r="P5" s="11"/>
      <c r="Q5" s="11"/>
      <c r="R5" s="11"/>
      <c r="S5" s="24"/>
      <c r="T5" s="24"/>
      <c r="U5" s="24" t="str">
        <f t="shared" si="0"/>
        <v/>
      </c>
      <c r="V5" s="24"/>
    </row>
    <row r="6" spans="1:22" s="27" customFormat="1" ht="114.75">
      <c r="A6" s="10" t="s">
        <v>433</v>
      </c>
      <c r="B6" s="11" t="str">
        <f>IFERROR(VLOOKUP(A6,Systems!A:B,2,FALSE),"Various")</f>
        <v>Ventilation system</v>
      </c>
      <c r="C6" s="11" t="s">
        <v>1415</v>
      </c>
      <c r="D6" s="11"/>
      <c r="E6" s="11"/>
      <c r="F6" s="24" t="s">
        <v>1412</v>
      </c>
      <c r="G6" s="38"/>
      <c r="H6" s="11" t="s">
        <v>1560</v>
      </c>
      <c r="I6" s="11"/>
      <c r="J6" s="11"/>
      <c r="K6" s="11"/>
      <c r="L6" s="11"/>
      <c r="M6" s="11"/>
      <c r="N6" s="11"/>
      <c r="O6" s="11"/>
      <c r="P6" s="11"/>
      <c r="Q6" s="11"/>
      <c r="R6" s="11"/>
      <c r="S6" s="24" t="s">
        <v>30</v>
      </c>
      <c r="T6" s="24"/>
      <c r="U6" s="24" t="str">
        <f t="shared" si="0"/>
        <v/>
      </c>
      <c r="V6" s="24"/>
    </row>
    <row r="7" spans="1:22" s="27" customFormat="1" ht="51">
      <c r="A7" s="10" t="s">
        <v>433</v>
      </c>
      <c r="B7" s="11" t="str">
        <f>IFERROR(VLOOKUP(A7,Systems!A:B,2,FALSE),"Various")</f>
        <v>Ventilation system</v>
      </c>
      <c r="C7" s="11" t="s">
        <v>1416</v>
      </c>
      <c r="D7" s="11"/>
      <c r="E7" s="11"/>
      <c r="F7" s="24" t="s">
        <v>1412</v>
      </c>
      <c r="G7" s="38"/>
      <c r="H7" s="11" t="s">
        <v>1561</v>
      </c>
      <c r="I7" s="11"/>
      <c r="J7" s="11"/>
      <c r="K7" s="11"/>
      <c r="L7" s="11"/>
      <c r="M7" s="11"/>
      <c r="N7" s="11"/>
      <c r="O7" s="11"/>
      <c r="P7" s="11"/>
      <c r="Q7" s="11"/>
      <c r="R7" s="11"/>
      <c r="S7" s="24" t="s">
        <v>30</v>
      </c>
      <c r="T7" s="24"/>
      <c r="U7" s="24" t="str">
        <f t="shared" si="0"/>
        <v/>
      </c>
      <c r="V7" s="24"/>
    </row>
    <row r="8" spans="1:22" s="27" customFormat="1" ht="102">
      <c r="A8" s="10" t="s">
        <v>433</v>
      </c>
      <c r="B8" s="11" t="str">
        <f>IFERROR(VLOOKUP(A8,Systems!A:B,2,FALSE),"Various")</f>
        <v>Ventilation system</v>
      </c>
      <c r="C8" s="11" t="s">
        <v>1417</v>
      </c>
      <c r="D8" s="11"/>
      <c r="E8" s="11"/>
      <c r="F8" s="24" t="s">
        <v>1412</v>
      </c>
      <c r="G8" s="38"/>
      <c r="H8" s="11" t="s">
        <v>1562</v>
      </c>
      <c r="I8" s="11"/>
      <c r="J8" s="11"/>
      <c r="K8" s="11"/>
      <c r="L8" s="11"/>
      <c r="M8" s="11"/>
      <c r="N8" s="11"/>
      <c r="O8" s="11"/>
      <c r="P8" s="11"/>
      <c r="Q8" s="11"/>
      <c r="R8" s="11"/>
      <c r="S8" s="24" t="s">
        <v>30</v>
      </c>
      <c r="T8" s="24"/>
      <c r="U8" s="24" t="str">
        <f t="shared" si="0"/>
        <v/>
      </c>
      <c r="V8" s="24"/>
    </row>
    <row r="9" spans="1:22" s="27" customFormat="1" ht="114.75">
      <c r="A9" s="10" t="s">
        <v>433</v>
      </c>
      <c r="B9" s="11" t="str">
        <f>IFERROR(VLOOKUP(A9,Systems!A:B,2,FALSE),"Various")</f>
        <v>Ventilation system</v>
      </c>
      <c r="C9" s="11" t="s">
        <v>1418</v>
      </c>
      <c r="D9" s="11"/>
      <c r="E9" s="11"/>
      <c r="F9" s="24" t="s">
        <v>1412</v>
      </c>
      <c r="G9" s="38"/>
      <c r="H9" s="11" t="s">
        <v>1563</v>
      </c>
      <c r="I9" s="11"/>
      <c r="J9" s="11"/>
      <c r="K9" s="11"/>
      <c r="L9" s="11"/>
      <c r="M9" s="11"/>
      <c r="N9" s="11"/>
      <c r="O9" s="11"/>
      <c r="P9" s="11"/>
      <c r="Q9" s="11"/>
      <c r="R9" s="11"/>
      <c r="S9" s="24" t="s">
        <v>30</v>
      </c>
      <c r="T9" s="24"/>
      <c r="U9" s="24" t="str">
        <f t="shared" si="0"/>
        <v/>
      </c>
      <c r="V9" s="24"/>
    </row>
    <row r="10" spans="1:22" s="27" customFormat="1" ht="51">
      <c r="A10" s="10" t="s">
        <v>433</v>
      </c>
      <c r="B10" s="11" t="str">
        <f>IFERROR(VLOOKUP(A10,Systems!A:B,2,FALSE),"Various")</f>
        <v>Ventilation system</v>
      </c>
      <c r="C10" s="11" t="s">
        <v>1419</v>
      </c>
      <c r="D10" s="11"/>
      <c r="E10" s="11"/>
      <c r="F10" s="24" t="s">
        <v>1412</v>
      </c>
      <c r="G10" s="38"/>
      <c r="H10" s="11" t="s">
        <v>1564</v>
      </c>
      <c r="I10" s="11"/>
      <c r="J10" s="11"/>
      <c r="K10" s="11"/>
      <c r="L10" s="11"/>
      <c r="M10" s="11"/>
      <c r="N10" s="11"/>
      <c r="O10" s="11"/>
      <c r="P10" s="11"/>
      <c r="Q10" s="11"/>
      <c r="R10" s="11"/>
      <c r="S10" s="24" t="s">
        <v>30</v>
      </c>
      <c r="T10" s="24"/>
      <c r="U10" s="24" t="str">
        <f t="shared" si="0"/>
        <v/>
      </c>
      <c r="V10" s="24"/>
    </row>
    <row r="11" spans="1:22" s="27" customFormat="1" ht="63.75">
      <c r="A11" s="10" t="s">
        <v>433</v>
      </c>
      <c r="B11" s="11" t="str">
        <f>IFERROR(VLOOKUP(A11,Systems!A:B,2,FALSE),"Various")</f>
        <v>Ventilation system</v>
      </c>
      <c r="C11" s="11" t="s">
        <v>1420</v>
      </c>
      <c r="D11" s="11"/>
      <c r="E11" s="11"/>
      <c r="F11" s="24" t="s">
        <v>1412</v>
      </c>
      <c r="G11" s="38"/>
      <c r="H11" s="11" t="s">
        <v>1565</v>
      </c>
      <c r="I11" s="11"/>
      <c r="J11" s="11"/>
      <c r="K11" s="11"/>
      <c r="L11" s="11"/>
      <c r="M11" s="11"/>
      <c r="N11" s="11"/>
      <c r="O11" s="11"/>
      <c r="P11" s="11"/>
      <c r="Q11" s="11"/>
      <c r="R11" s="11"/>
      <c r="S11" s="24" t="s">
        <v>30</v>
      </c>
      <c r="T11" s="24"/>
      <c r="U11" s="24" t="str">
        <f t="shared" si="0"/>
        <v/>
      </c>
      <c r="V11" s="24"/>
    </row>
    <row r="12" spans="1:22" s="27" customFormat="1" ht="51">
      <c r="A12" s="10" t="s">
        <v>433</v>
      </c>
      <c r="B12" s="11" t="str">
        <f>IFERROR(VLOOKUP(A12,Systems!A:B,2,FALSE),"Various")</f>
        <v>Ventilation system</v>
      </c>
      <c r="C12" s="11" t="s">
        <v>1421</v>
      </c>
      <c r="D12" s="11"/>
      <c r="E12" s="11"/>
      <c r="F12" s="24" t="s">
        <v>1412</v>
      </c>
      <c r="G12" s="38"/>
      <c r="H12" s="11" t="s">
        <v>1566</v>
      </c>
      <c r="I12" s="11"/>
      <c r="J12" s="11"/>
      <c r="K12" s="11"/>
      <c r="L12" s="11"/>
      <c r="M12" s="11"/>
      <c r="N12" s="11"/>
      <c r="O12" s="11"/>
      <c r="P12" s="11"/>
      <c r="Q12" s="11"/>
      <c r="R12" s="11"/>
      <c r="S12" s="24" t="s">
        <v>30</v>
      </c>
      <c r="T12" s="24"/>
      <c r="U12" s="24" t="str">
        <f t="shared" si="0"/>
        <v/>
      </c>
      <c r="V12" s="24"/>
    </row>
    <row r="13" spans="1:22" s="27" customFormat="1" ht="63.75">
      <c r="A13" s="10" t="s">
        <v>148</v>
      </c>
      <c r="B13" s="11" t="str">
        <f>IFERROR(VLOOKUP(A13,Systems!A:B,2,FALSE),"Various")</f>
        <v>Project data</v>
      </c>
      <c r="C13" s="11" t="s">
        <v>1690</v>
      </c>
      <c r="D13" s="11"/>
      <c r="E13" s="11"/>
      <c r="F13" s="24" t="s">
        <v>1412</v>
      </c>
      <c r="G13" s="38"/>
      <c r="H13" s="11" t="s">
        <v>1691</v>
      </c>
      <c r="I13" s="11"/>
      <c r="J13" s="11"/>
      <c r="K13" s="11"/>
      <c r="L13" s="11"/>
      <c r="M13" s="11"/>
      <c r="N13" s="11"/>
      <c r="O13" s="11"/>
      <c r="P13" s="11"/>
      <c r="Q13" s="11"/>
      <c r="R13" s="11"/>
      <c r="S13" s="24" t="s">
        <v>30</v>
      </c>
      <c r="T13" s="24"/>
      <c r="U13" s="24" t="str">
        <f t="shared" si="0"/>
        <v/>
      </c>
      <c r="V13" s="24"/>
    </row>
    <row r="14" spans="1:22" ht="63.75">
      <c r="A14" s="10" t="s">
        <v>157</v>
      </c>
      <c r="B14" s="11" t="str">
        <f>IFERROR(VLOOKUP(A14,Systems!A:B,2,FALSE),"Various")</f>
        <v>Tank arrangement</v>
      </c>
      <c r="C14" s="11" t="s">
        <v>495</v>
      </c>
      <c r="D14" s="11"/>
      <c r="E14" s="11"/>
      <c r="F14" s="24" t="s">
        <v>1412</v>
      </c>
      <c r="G14" s="38"/>
      <c r="H14" s="11" t="s">
        <v>1549</v>
      </c>
      <c r="I14" s="11"/>
      <c r="J14" s="11"/>
      <c r="K14" s="11"/>
      <c r="L14" s="11"/>
      <c r="M14" s="11"/>
      <c r="N14" s="11"/>
      <c r="O14" s="11"/>
      <c r="P14" s="11" t="s">
        <v>494</v>
      </c>
      <c r="Q14" s="11"/>
      <c r="R14" s="11"/>
      <c r="S14" s="24" t="s">
        <v>30</v>
      </c>
      <c r="T14" s="24"/>
      <c r="U14" s="24" t="str">
        <f t="shared" si="0"/>
        <v/>
      </c>
      <c r="V14" s="24"/>
    </row>
    <row r="15" spans="1:22" s="19" customFormat="1" ht="30" customHeight="1">
      <c r="A15" s="10" t="s">
        <v>157</v>
      </c>
      <c r="B15" s="11" t="str">
        <f>IFERROR(VLOOKUP(A15,Systems!A:B,2,FALSE),"Various")</f>
        <v>Tank arrangement</v>
      </c>
      <c r="C15" s="11" t="s">
        <v>490</v>
      </c>
      <c r="D15" s="11"/>
      <c r="E15" s="11"/>
      <c r="F15" s="24" t="s">
        <v>1412</v>
      </c>
      <c r="G15" s="38"/>
      <c r="H15" s="11" t="s">
        <v>1550</v>
      </c>
      <c r="I15" s="11"/>
      <c r="J15" s="11"/>
      <c r="K15" s="11"/>
      <c r="L15" s="11"/>
      <c r="M15" s="11"/>
      <c r="N15" s="11"/>
      <c r="O15" s="11"/>
      <c r="P15" s="11" t="s">
        <v>491</v>
      </c>
      <c r="Q15" s="11"/>
      <c r="R15" s="11"/>
      <c r="S15" s="24" t="s">
        <v>30</v>
      </c>
      <c r="T15" s="24"/>
      <c r="U15" s="24" t="str">
        <f t="shared" si="0"/>
        <v/>
      </c>
      <c r="V15" s="24"/>
    </row>
    <row r="16" spans="1:22" ht="293.25">
      <c r="A16" s="10" t="s">
        <v>157</v>
      </c>
      <c r="B16" s="11" t="str">
        <f>IFERROR(VLOOKUP(A16,Systems!A:B,2,FALSE),"Various")</f>
        <v>Tank arrangement</v>
      </c>
      <c r="C16" s="11" t="s">
        <v>493</v>
      </c>
      <c r="D16" s="11"/>
      <c r="E16" s="11"/>
      <c r="F16" s="24" t="s">
        <v>1412</v>
      </c>
      <c r="G16" s="38"/>
      <c r="H16" s="11" t="s">
        <v>1551</v>
      </c>
      <c r="I16" s="11"/>
      <c r="J16" s="11"/>
      <c r="K16" s="11"/>
      <c r="L16" s="11"/>
      <c r="M16" s="11"/>
      <c r="N16" s="11"/>
      <c r="O16" s="11"/>
      <c r="P16" s="11" t="s">
        <v>492</v>
      </c>
      <c r="Q16" s="11"/>
      <c r="R16" s="11"/>
      <c r="S16" s="24" t="s">
        <v>30</v>
      </c>
      <c r="T16" s="24"/>
      <c r="U16" s="24" t="str">
        <f t="shared" si="0"/>
        <v/>
      </c>
      <c r="V16" s="24"/>
    </row>
    <row r="17" spans="1:22" ht="255">
      <c r="A17" s="10" t="s">
        <v>224</v>
      </c>
      <c r="B17" s="11" t="str">
        <f>IFERROR(VLOOKUP(A17,Systems!A:B,2,FALSE),"Various")</f>
        <v>Bilge system</v>
      </c>
      <c r="C17" s="11" t="s">
        <v>930</v>
      </c>
      <c r="D17" s="11"/>
      <c r="E17" s="11"/>
      <c r="F17" s="24" t="s">
        <v>1412</v>
      </c>
      <c r="G17" s="38"/>
      <c r="H17" s="11" t="s">
        <v>2321</v>
      </c>
      <c r="I17" s="11"/>
      <c r="J17" s="11"/>
      <c r="K17" s="11"/>
      <c r="L17" s="11"/>
      <c r="M17" s="11"/>
      <c r="N17" s="11"/>
      <c r="O17" s="11"/>
      <c r="P17" s="11" t="s">
        <v>494</v>
      </c>
      <c r="Q17" s="11"/>
      <c r="R17" s="11"/>
      <c r="S17" s="24" t="s">
        <v>30</v>
      </c>
      <c r="T17" s="24"/>
      <c r="U17" s="24" t="str">
        <f t="shared" si="0"/>
        <v/>
      </c>
      <c r="V17" s="24"/>
    </row>
    <row r="18" spans="1:22" ht="38.25">
      <c r="A18" s="10" t="s">
        <v>157</v>
      </c>
      <c r="B18" s="11" t="str">
        <f>IFERROR(VLOOKUP(A18,Systems!A:B,2,FALSE),"Various")</f>
        <v>Tank arrangement</v>
      </c>
      <c r="C18" s="11" t="s">
        <v>497</v>
      </c>
      <c r="D18" s="11"/>
      <c r="E18" s="11"/>
      <c r="F18" s="24" t="s">
        <v>1412</v>
      </c>
      <c r="G18" s="38"/>
      <c r="H18" s="11" t="s">
        <v>1552</v>
      </c>
      <c r="I18" s="11"/>
      <c r="J18" s="11"/>
      <c r="K18" s="11"/>
      <c r="L18" s="11"/>
      <c r="M18" s="11"/>
      <c r="N18" s="11"/>
      <c r="O18" s="11"/>
      <c r="P18" s="11" t="s">
        <v>496</v>
      </c>
      <c r="Q18" s="11"/>
      <c r="R18" s="11"/>
      <c r="S18" s="24" t="s">
        <v>30</v>
      </c>
      <c r="T18" s="24"/>
      <c r="U18" s="24" t="str">
        <f t="shared" si="0"/>
        <v/>
      </c>
      <c r="V18" s="24"/>
    </row>
    <row r="19" spans="1:22" ht="63.75">
      <c r="A19" s="10" t="s">
        <v>157</v>
      </c>
      <c r="B19" s="11" t="str">
        <f>IFERROR(VLOOKUP(A19,Systems!A:B,2,FALSE),"Various")</f>
        <v>Tank arrangement</v>
      </c>
      <c r="C19" s="11" t="s">
        <v>929</v>
      </c>
      <c r="D19" s="11" t="s">
        <v>1896</v>
      </c>
      <c r="E19" s="11"/>
      <c r="F19" s="24" t="s">
        <v>1412</v>
      </c>
      <c r="G19" s="38"/>
      <c r="H19" s="11" t="s">
        <v>1553</v>
      </c>
      <c r="I19" s="11"/>
      <c r="J19" s="11"/>
      <c r="K19" s="11"/>
      <c r="L19" s="11"/>
      <c r="M19" s="11"/>
      <c r="N19" s="11"/>
      <c r="O19" s="11"/>
      <c r="P19" s="11"/>
      <c r="Q19" s="11"/>
      <c r="R19" s="11"/>
      <c r="S19" s="24" t="s">
        <v>30</v>
      </c>
      <c r="T19" s="24"/>
      <c r="U19" s="24" t="str">
        <f t="shared" si="0"/>
        <v/>
      </c>
      <c r="V19" s="24"/>
    </row>
    <row r="20" spans="1:22" ht="331.5">
      <c r="A20" s="10" t="s">
        <v>157</v>
      </c>
      <c r="B20" s="11" t="str">
        <f>IFERROR(VLOOKUP(A20,Systems!A:B,2,FALSE),"Various")</f>
        <v>Tank arrangement</v>
      </c>
      <c r="C20" s="11" t="s">
        <v>929</v>
      </c>
      <c r="D20" s="11" t="s">
        <v>1897</v>
      </c>
      <c r="E20" s="11"/>
      <c r="F20" s="24" t="s">
        <v>1412</v>
      </c>
      <c r="G20" s="38"/>
      <c r="H20" s="11" t="s">
        <v>1692</v>
      </c>
      <c r="I20" s="11"/>
      <c r="J20" s="11"/>
      <c r="K20" s="11"/>
      <c r="L20" s="11"/>
      <c r="M20" s="11"/>
      <c r="N20" s="11"/>
      <c r="O20" s="11"/>
      <c r="P20" s="11"/>
      <c r="Q20" s="11"/>
      <c r="R20" s="11"/>
      <c r="S20" s="24" t="s">
        <v>30</v>
      </c>
      <c r="T20" s="24"/>
      <c r="U20" s="24" t="str">
        <f t="shared" si="0"/>
        <v/>
      </c>
      <c r="V20" s="24"/>
    </row>
    <row r="21" spans="1:22" ht="140.25">
      <c r="A21" s="10" t="s">
        <v>157</v>
      </c>
      <c r="B21" s="11" t="str">
        <f>IFERROR(VLOOKUP(A21,Systems!A:B,2,FALSE),"Various")</f>
        <v>Tank arrangement</v>
      </c>
      <c r="C21" s="11" t="s">
        <v>929</v>
      </c>
      <c r="D21" s="11"/>
      <c r="E21" s="11"/>
      <c r="F21" s="24" t="s">
        <v>1412</v>
      </c>
      <c r="G21" s="38"/>
      <c r="H21" s="11" t="s">
        <v>1693</v>
      </c>
      <c r="I21" s="11"/>
      <c r="J21" s="11"/>
      <c r="K21" s="11"/>
      <c r="L21" s="11"/>
      <c r="M21" s="11"/>
      <c r="N21" s="11"/>
      <c r="O21" s="11"/>
      <c r="P21" s="11"/>
      <c r="Q21" s="11"/>
      <c r="R21" s="11"/>
      <c r="S21" s="24" t="s">
        <v>30</v>
      </c>
      <c r="T21" s="24"/>
      <c r="U21" s="24" t="str">
        <f t="shared" si="0"/>
        <v/>
      </c>
      <c r="V21" s="24"/>
    </row>
    <row r="22" spans="1:22" ht="114.75">
      <c r="A22" s="10" t="s">
        <v>839</v>
      </c>
      <c r="B22" s="11" t="str">
        <f>IFERROR(VLOOKUP(A22,Systems!A:B,2,FALSE),"Various")</f>
        <v>Manholes / manhole covers</v>
      </c>
      <c r="C22" s="11" t="s">
        <v>67</v>
      </c>
      <c r="D22" s="11"/>
      <c r="E22" s="11"/>
      <c r="F22" s="24" t="s">
        <v>1412</v>
      </c>
      <c r="G22" s="38"/>
      <c r="H22" s="11" t="s">
        <v>1554</v>
      </c>
      <c r="I22" s="11"/>
      <c r="J22" s="11"/>
      <c r="K22" s="11"/>
      <c r="L22" s="11"/>
      <c r="M22" s="11"/>
      <c r="N22" s="11"/>
      <c r="O22" s="11"/>
      <c r="P22" s="11" t="s">
        <v>933</v>
      </c>
      <c r="Q22" s="11"/>
      <c r="R22" s="11"/>
      <c r="S22" s="24" t="s">
        <v>30</v>
      </c>
      <c r="T22" s="24"/>
      <c r="U22" s="24" t="str">
        <f t="shared" si="0"/>
        <v/>
      </c>
      <c r="V22" s="24"/>
    </row>
    <row r="23" spans="1:22" ht="153">
      <c r="A23" s="10" t="s">
        <v>849</v>
      </c>
      <c r="B23" s="11" t="str">
        <f>IFERROR(VLOOKUP(A23,Systems!A:B,2,FALSE),"Various")</f>
        <v>Platforms / gratings</v>
      </c>
      <c r="C23" s="11" t="s">
        <v>67</v>
      </c>
      <c r="D23" s="11"/>
      <c r="E23" s="11"/>
      <c r="F23" s="24" t="s">
        <v>1412</v>
      </c>
      <c r="G23" s="38"/>
      <c r="H23" s="11" t="s">
        <v>1555</v>
      </c>
      <c r="I23" s="11"/>
      <c r="J23" s="11"/>
      <c r="K23" s="11"/>
      <c r="L23" s="11"/>
      <c r="M23" s="11"/>
      <c r="N23" s="11"/>
      <c r="O23" s="11"/>
      <c r="P23" s="11" t="s">
        <v>934</v>
      </c>
      <c r="Q23" s="11"/>
      <c r="R23" s="11"/>
      <c r="S23" s="24" t="s">
        <v>30</v>
      </c>
      <c r="T23" s="24"/>
      <c r="U23" s="24" t="str">
        <f t="shared" si="0"/>
        <v/>
      </c>
      <c r="V23" s="24"/>
    </row>
    <row r="24" spans="1:22" ht="76.5">
      <c r="A24" s="10" t="s">
        <v>839</v>
      </c>
      <c r="B24" s="11" t="str">
        <f>IFERROR(VLOOKUP(A24,Systems!A:B,2,FALSE),"Various")</f>
        <v>Manholes / manhole covers</v>
      </c>
      <c r="C24" s="11" t="s">
        <v>68</v>
      </c>
      <c r="D24" s="11"/>
      <c r="E24" s="11"/>
      <c r="F24" s="24" t="s">
        <v>1412</v>
      </c>
      <c r="G24" s="38"/>
      <c r="H24" s="11" t="s">
        <v>1556</v>
      </c>
      <c r="I24" s="11"/>
      <c r="J24" s="11"/>
      <c r="K24" s="11"/>
      <c r="L24" s="11"/>
      <c r="M24" s="11"/>
      <c r="N24" s="11"/>
      <c r="O24" s="11"/>
      <c r="P24" s="11" t="s">
        <v>935</v>
      </c>
      <c r="Q24" s="11"/>
      <c r="R24" s="11"/>
      <c r="S24" s="24" t="s">
        <v>30</v>
      </c>
      <c r="T24" s="24"/>
      <c r="U24" s="24" t="str">
        <f t="shared" si="0"/>
        <v/>
      </c>
      <c r="V24" s="24"/>
    </row>
    <row r="25" spans="1:22" ht="89.25">
      <c r="A25" s="10" t="s">
        <v>839</v>
      </c>
      <c r="B25" s="11" t="str">
        <f>IFERROR(VLOOKUP(A25,Systems!A:B,2,FALSE),"Various")</f>
        <v>Manholes / manhole covers</v>
      </c>
      <c r="C25" s="11" t="s">
        <v>68</v>
      </c>
      <c r="D25" s="11"/>
      <c r="E25" s="11"/>
      <c r="F25" s="24" t="s">
        <v>1412</v>
      </c>
      <c r="G25" s="38"/>
      <c r="H25" s="11" t="s">
        <v>1557</v>
      </c>
      <c r="I25" s="11"/>
      <c r="J25" s="11"/>
      <c r="K25" s="11"/>
      <c r="L25" s="11"/>
      <c r="M25" s="11"/>
      <c r="N25" s="11"/>
      <c r="O25" s="11"/>
      <c r="P25" s="11" t="s">
        <v>257</v>
      </c>
      <c r="Q25" s="11"/>
      <c r="R25" s="11"/>
      <c r="S25" s="24" t="s">
        <v>30</v>
      </c>
      <c r="T25" s="24"/>
      <c r="U25" s="24" t="str">
        <f t="shared" si="0"/>
        <v/>
      </c>
      <c r="V25" s="24"/>
    </row>
    <row r="26" spans="1:22" ht="51">
      <c r="A26" s="10" t="s">
        <v>839</v>
      </c>
      <c r="B26" s="11" t="str">
        <f>IFERROR(VLOOKUP(A26,Systems!A:B,2,FALSE),"Various")</f>
        <v>Manholes / manhole covers</v>
      </c>
      <c r="C26" s="11" t="s">
        <v>69</v>
      </c>
      <c r="D26" s="11"/>
      <c r="E26" s="11"/>
      <c r="F26" s="24" t="s">
        <v>1412</v>
      </c>
      <c r="G26" s="38"/>
      <c r="H26" s="11" t="s">
        <v>1558</v>
      </c>
      <c r="I26" s="11"/>
      <c r="J26" s="11"/>
      <c r="K26" s="11"/>
      <c r="L26" s="11"/>
      <c r="M26" s="11"/>
      <c r="N26" s="11"/>
      <c r="O26" s="11"/>
      <c r="P26" s="11" t="s">
        <v>883</v>
      </c>
      <c r="Q26" s="11"/>
      <c r="R26" s="11"/>
      <c r="S26" s="24" t="s">
        <v>30</v>
      </c>
      <c r="T26" s="24"/>
      <c r="U26" s="24" t="str">
        <f t="shared" si="0"/>
        <v/>
      </c>
      <c r="V26" s="24"/>
    </row>
    <row r="27" spans="1:22" ht="63.75">
      <c r="A27" s="10" t="s">
        <v>1754</v>
      </c>
      <c r="B27" s="11" t="str">
        <f>IFERROR(VLOOKUP(A27,Systems!A:B,2,FALSE),"Various")</f>
        <v>Various</v>
      </c>
      <c r="C27" s="11" t="s">
        <v>1758</v>
      </c>
      <c r="D27" s="11"/>
      <c r="E27" s="11"/>
      <c r="F27" s="24" t="s">
        <v>1412</v>
      </c>
      <c r="G27" s="38"/>
      <c r="H27" s="11" t="s">
        <v>2322</v>
      </c>
      <c r="I27" s="11"/>
      <c r="J27" s="11"/>
      <c r="K27" s="11"/>
      <c r="L27" s="11"/>
      <c r="M27" s="11"/>
      <c r="N27" s="11"/>
      <c r="O27" s="11"/>
      <c r="P27" s="11"/>
      <c r="Q27" s="11"/>
      <c r="R27" s="11"/>
      <c r="S27" s="24" t="s">
        <v>30</v>
      </c>
      <c r="T27" s="24" t="s">
        <v>30</v>
      </c>
      <c r="U27" s="24" t="str">
        <f t="shared" si="0"/>
        <v/>
      </c>
      <c r="V27" s="24"/>
    </row>
    <row r="28" spans="1:22" ht="409.5">
      <c r="A28" s="10" t="s">
        <v>1754</v>
      </c>
      <c r="B28" s="11" t="str">
        <f>IFERROR(VLOOKUP(A28,Systems!A:B,2,FALSE),"Various")</f>
        <v>Various</v>
      </c>
      <c r="C28" s="11" t="s">
        <v>1760</v>
      </c>
      <c r="D28" s="11"/>
      <c r="E28" s="11"/>
      <c r="F28" s="24" t="s">
        <v>1412</v>
      </c>
      <c r="G28" s="38"/>
      <c r="H28" s="11" t="s">
        <v>1759</v>
      </c>
      <c r="I28" s="11"/>
      <c r="J28" s="11"/>
      <c r="K28" s="11"/>
      <c r="L28" s="11"/>
      <c r="M28" s="11"/>
      <c r="N28" s="11"/>
      <c r="O28" s="11"/>
      <c r="P28" s="11"/>
      <c r="Q28" s="11"/>
      <c r="R28" s="11"/>
      <c r="S28" s="24" t="s">
        <v>30</v>
      </c>
      <c r="T28" s="24"/>
      <c r="U28" s="24" t="str">
        <f t="shared" si="0"/>
        <v/>
      </c>
      <c r="V28" s="24"/>
    </row>
    <row r="29" spans="1:22" ht="357">
      <c r="A29" s="10" t="s">
        <v>1754</v>
      </c>
      <c r="B29" s="11" t="str">
        <f>IFERROR(VLOOKUP(A29,Systems!A:B,2,FALSE),"Various")</f>
        <v>Various</v>
      </c>
      <c r="C29" s="11" t="s">
        <v>1761</v>
      </c>
      <c r="D29" s="11"/>
      <c r="E29" s="11"/>
      <c r="F29" s="24" t="s">
        <v>1412</v>
      </c>
      <c r="G29" s="38"/>
      <c r="H29" s="11" t="s">
        <v>1771</v>
      </c>
      <c r="I29" s="11"/>
      <c r="J29" s="11" t="s">
        <v>2323</v>
      </c>
      <c r="K29" s="11"/>
      <c r="L29" s="11" t="s">
        <v>1762</v>
      </c>
      <c r="M29" s="11"/>
      <c r="N29" s="11"/>
      <c r="O29" s="11"/>
      <c r="P29" s="11"/>
      <c r="Q29" s="11"/>
      <c r="R29" s="11"/>
      <c r="S29" s="24" t="s">
        <v>30</v>
      </c>
      <c r="T29" s="24"/>
      <c r="U29" s="24" t="str">
        <f t="shared" si="0"/>
        <v/>
      </c>
      <c r="V29" s="24"/>
    </row>
    <row r="30" spans="1:22" ht="51">
      <c r="A30" s="10" t="s">
        <v>1243</v>
      </c>
      <c r="B30" s="11" t="str">
        <f>IFERROR(VLOOKUP(A30,Systems!A:B,2,FALSE),"Various")</f>
        <v>Various</v>
      </c>
      <c r="C30" s="11" t="s">
        <v>504</v>
      </c>
      <c r="D30" s="11"/>
      <c r="E30" s="11"/>
      <c r="F30" s="24" t="s">
        <v>1412</v>
      </c>
      <c r="G30" s="38"/>
      <c r="H30" s="11" t="s">
        <v>505</v>
      </c>
      <c r="I30" s="11"/>
      <c r="J30" s="11"/>
      <c r="K30" s="11"/>
      <c r="L30" s="11"/>
      <c r="M30" s="11"/>
      <c r="N30" s="11"/>
      <c r="O30" s="11"/>
      <c r="P30" s="11" t="s">
        <v>505</v>
      </c>
      <c r="Q30" s="11"/>
      <c r="R30" s="11"/>
      <c r="S30" s="24" t="s">
        <v>30</v>
      </c>
      <c r="T30" s="24"/>
      <c r="U30" s="24" t="str">
        <f t="shared" si="0"/>
        <v/>
      </c>
      <c r="V30" s="24"/>
    </row>
    <row r="31" spans="1:22" ht="63.75">
      <c r="A31" s="10" t="s">
        <v>224</v>
      </c>
      <c r="B31" s="11" t="str">
        <f>IFERROR(VLOOKUP(A31,Systems!A:B,2,FALSE),"Various")</f>
        <v>Bilge system</v>
      </c>
      <c r="C31" s="11" t="s">
        <v>1111</v>
      </c>
      <c r="D31" s="11"/>
      <c r="E31" s="11"/>
      <c r="F31" s="24" t="s">
        <v>2324</v>
      </c>
      <c r="G31" s="38" t="s">
        <v>2327</v>
      </c>
      <c r="H31" s="11"/>
      <c r="I31" s="11"/>
      <c r="J31" s="11"/>
      <c r="K31" s="11"/>
      <c r="L31" s="11"/>
      <c r="M31" s="11"/>
      <c r="N31" s="11"/>
      <c r="O31" s="11"/>
      <c r="P31" s="11"/>
      <c r="Q31" s="11"/>
      <c r="R31" s="11"/>
      <c r="S31" s="24"/>
      <c r="T31" s="24"/>
      <c r="U31" s="24"/>
      <c r="V31" s="24"/>
    </row>
    <row r="32" spans="1:22" ht="76.5">
      <c r="A32" s="10" t="s">
        <v>224</v>
      </c>
      <c r="B32" s="11" t="str">
        <f>IFERROR(VLOOKUP(A32,Systems!A:B,2,FALSE),"Various")</f>
        <v>Bilge system</v>
      </c>
      <c r="C32" s="11" t="s">
        <v>1111</v>
      </c>
      <c r="D32" s="11"/>
      <c r="E32" s="11"/>
      <c r="F32" s="24" t="s">
        <v>2324</v>
      </c>
      <c r="G32" s="38" t="s">
        <v>2328</v>
      </c>
      <c r="H32" s="11"/>
      <c r="I32" s="11"/>
      <c r="J32" s="11"/>
      <c r="K32" s="11"/>
      <c r="L32" s="11"/>
      <c r="M32" s="11"/>
      <c r="N32" s="11"/>
      <c r="O32" s="11"/>
      <c r="P32" s="11"/>
      <c r="Q32" s="11"/>
      <c r="R32" s="11"/>
      <c r="S32" s="24"/>
      <c r="T32" s="24"/>
      <c r="U32" s="24"/>
      <c r="V32" s="24"/>
    </row>
    <row r="33" spans="1:22" ht="63.75">
      <c r="A33" s="10" t="s">
        <v>224</v>
      </c>
      <c r="B33" s="11" t="str">
        <f>IFERROR(VLOOKUP(A33,Systems!A:B,2,FALSE),"Various")</f>
        <v>Bilge system</v>
      </c>
      <c r="C33" s="11" t="s">
        <v>1111</v>
      </c>
      <c r="D33" s="11"/>
      <c r="E33" s="11"/>
      <c r="F33" s="24" t="s">
        <v>2324</v>
      </c>
      <c r="G33" s="38" t="s">
        <v>2329</v>
      </c>
      <c r="H33" s="11"/>
      <c r="I33" s="11"/>
      <c r="J33" s="11"/>
      <c r="K33" s="11"/>
      <c r="L33" s="11"/>
      <c r="M33" s="11"/>
      <c r="N33" s="11"/>
      <c r="O33" s="11"/>
      <c r="P33" s="11"/>
      <c r="Q33" s="11"/>
      <c r="R33" s="11"/>
      <c r="S33" s="24"/>
      <c r="T33" s="24"/>
      <c r="U33" s="24"/>
      <c r="V33" s="24"/>
    </row>
    <row r="34" spans="1:22" ht="25.5">
      <c r="A34" s="10" t="s">
        <v>224</v>
      </c>
      <c r="B34" s="11" t="str">
        <f>IFERROR(VLOOKUP(A34,Systems!A:B,2,FALSE),"Various")</f>
        <v>Bilge system</v>
      </c>
      <c r="C34" s="11" t="s">
        <v>1111</v>
      </c>
      <c r="D34" s="11"/>
      <c r="E34" s="11"/>
      <c r="F34" s="24" t="s">
        <v>2324</v>
      </c>
      <c r="G34" s="38" t="s">
        <v>2330</v>
      </c>
      <c r="H34" s="11"/>
      <c r="I34" s="11"/>
      <c r="J34" s="11"/>
      <c r="K34" s="11"/>
      <c r="L34" s="11"/>
      <c r="M34" s="11"/>
      <c r="N34" s="11"/>
      <c r="O34" s="11"/>
      <c r="P34" s="11"/>
      <c r="Q34" s="11"/>
      <c r="R34" s="11"/>
      <c r="S34" s="24"/>
      <c r="T34" s="24"/>
      <c r="U34" s="24"/>
      <c r="V34" s="24"/>
    </row>
    <row r="35" spans="1:22" ht="63.75">
      <c r="A35" s="10" t="s">
        <v>224</v>
      </c>
      <c r="B35" s="11" t="str">
        <f>IFERROR(VLOOKUP(A35,Systems!A:B,2,FALSE),"Various")</f>
        <v>Bilge system</v>
      </c>
      <c r="C35" s="11" t="s">
        <v>1111</v>
      </c>
      <c r="D35" s="11"/>
      <c r="E35" s="11"/>
      <c r="F35" s="24" t="s">
        <v>2324</v>
      </c>
      <c r="G35" s="38" t="s">
        <v>2331</v>
      </c>
      <c r="H35" s="11"/>
      <c r="I35" s="11"/>
      <c r="J35" s="11"/>
      <c r="K35" s="11"/>
      <c r="L35" s="11"/>
      <c r="M35" s="11"/>
      <c r="N35" s="11"/>
      <c r="O35" s="11"/>
      <c r="P35" s="11"/>
      <c r="Q35" s="11"/>
      <c r="R35" s="11"/>
      <c r="S35" s="24"/>
      <c r="T35" s="24"/>
      <c r="U35" s="24"/>
      <c r="V35" s="24"/>
    </row>
    <row r="36" spans="1:22" ht="127.5">
      <c r="A36" s="10" t="s">
        <v>830</v>
      </c>
      <c r="B36" s="11" t="str">
        <f>IFERROR(VLOOKUP(A36,Systems!A:B,2,FALSE),"Various")</f>
        <v>Ballast system</v>
      </c>
      <c r="C36" s="11" t="s">
        <v>1111</v>
      </c>
      <c r="D36" s="11"/>
      <c r="E36" s="11"/>
      <c r="F36" s="24" t="s">
        <v>2324</v>
      </c>
      <c r="G36" s="38" t="s">
        <v>2332</v>
      </c>
      <c r="H36" s="11"/>
      <c r="I36" s="11"/>
      <c r="J36" s="11"/>
      <c r="K36" s="11"/>
      <c r="L36" s="11"/>
      <c r="M36" s="11"/>
      <c r="N36" s="11"/>
      <c r="O36" s="11"/>
      <c r="P36" s="11"/>
      <c r="Q36" s="11"/>
      <c r="R36" s="11"/>
      <c r="S36" s="24"/>
      <c r="T36" s="24"/>
      <c r="U36" s="24"/>
      <c r="V36" s="24"/>
    </row>
    <row r="37" spans="1:22" ht="114.75">
      <c r="A37" s="10" t="s">
        <v>832</v>
      </c>
      <c r="B37" s="11" t="str">
        <f>IFERROR(VLOOKUP(A37,Systems!A:B,2,FALSE),"Various")</f>
        <v>Fuel transfer system</v>
      </c>
      <c r="C37" s="11" t="s">
        <v>2399</v>
      </c>
      <c r="D37" s="11"/>
      <c r="E37" s="11"/>
      <c r="F37" s="24" t="s">
        <v>2324</v>
      </c>
      <c r="G37" s="38" t="s">
        <v>2397</v>
      </c>
      <c r="H37" s="11"/>
      <c r="I37" s="11"/>
      <c r="J37" s="11"/>
      <c r="K37" s="11"/>
      <c r="L37" s="11"/>
      <c r="M37" s="11"/>
      <c r="N37" s="11"/>
      <c r="O37" s="11"/>
      <c r="P37" s="11"/>
      <c r="Q37" s="11"/>
      <c r="R37" s="11"/>
      <c r="S37" s="24"/>
      <c r="T37" s="24"/>
      <c r="U37" s="24"/>
      <c r="V37" s="24"/>
    </row>
    <row r="38" spans="1:22" ht="63.75">
      <c r="A38" s="10" t="s">
        <v>832</v>
      </c>
      <c r="B38" s="11" t="str">
        <f>IFERROR(VLOOKUP(A38,Systems!A:B,2,FALSE),"Various")</f>
        <v>Fuel transfer system</v>
      </c>
      <c r="C38" s="11" t="s">
        <v>2399</v>
      </c>
      <c r="D38" s="11"/>
      <c r="E38" s="11"/>
      <c r="F38" s="24" t="s">
        <v>2324</v>
      </c>
      <c r="G38" s="38" t="s">
        <v>2398</v>
      </c>
      <c r="H38" s="11"/>
      <c r="I38" s="11"/>
      <c r="J38" s="11"/>
      <c r="K38" s="11"/>
      <c r="L38" s="11"/>
      <c r="M38" s="11"/>
      <c r="N38" s="11"/>
      <c r="O38" s="11"/>
      <c r="P38" s="11"/>
      <c r="Q38" s="11"/>
      <c r="R38" s="11"/>
      <c r="S38" s="24"/>
      <c r="T38" s="24"/>
      <c r="U38" s="24"/>
      <c r="V38" s="24"/>
    </row>
    <row r="39" spans="1:22" ht="51">
      <c r="A39" s="10" t="s">
        <v>832</v>
      </c>
      <c r="B39" s="11" t="str">
        <f>IFERROR(VLOOKUP(A39,Systems!A:B,2,FALSE),"Various")</f>
        <v>Fuel transfer system</v>
      </c>
      <c r="C39" s="11" t="s">
        <v>2403</v>
      </c>
      <c r="D39" s="11"/>
      <c r="E39" s="11"/>
      <c r="F39" s="24"/>
      <c r="G39" s="38" t="s">
        <v>2402</v>
      </c>
      <c r="H39" s="11"/>
      <c r="I39" s="11"/>
      <c r="J39" s="11"/>
      <c r="K39" s="11"/>
      <c r="L39" s="11"/>
      <c r="M39" s="11"/>
      <c r="N39" s="11"/>
      <c r="O39" s="11"/>
      <c r="P39" s="11"/>
      <c r="Q39" s="11"/>
      <c r="R39" s="11"/>
      <c r="S39" s="24"/>
      <c r="T39" s="24"/>
      <c r="U39" s="24"/>
      <c r="V39" s="24"/>
    </row>
    <row r="40" spans="1:22" ht="178.5">
      <c r="A40" s="10" t="s">
        <v>832</v>
      </c>
      <c r="B40" s="11" t="str">
        <f>IFERROR(VLOOKUP(A40,Systems!A:B,2,FALSE),"Various")</f>
        <v>Fuel transfer system</v>
      </c>
      <c r="C40" s="11" t="s">
        <v>2405</v>
      </c>
      <c r="D40" s="11"/>
      <c r="E40" s="11"/>
      <c r="F40" s="24"/>
      <c r="G40" s="38" t="s">
        <v>2404</v>
      </c>
      <c r="H40" s="11"/>
      <c r="I40" s="11"/>
      <c r="J40" s="11"/>
      <c r="K40" s="11"/>
      <c r="L40" s="11"/>
      <c r="M40" s="11"/>
      <c r="N40" s="11"/>
      <c r="O40" s="11"/>
      <c r="P40" s="11"/>
      <c r="Q40" s="11"/>
      <c r="R40" s="11"/>
      <c r="S40" s="24"/>
      <c r="T40" s="24"/>
      <c r="U40" s="24"/>
      <c r="V40" s="24"/>
    </row>
    <row r="41" spans="1:22" ht="51">
      <c r="A41" s="10" t="s">
        <v>832</v>
      </c>
      <c r="B41" s="11" t="str">
        <f>IFERROR(VLOOKUP(A41,Systems!A:B,2,FALSE),"Various")</f>
        <v>Fuel transfer system</v>
      </c>
      <c r="C41" s="11" t="s">
        <v>2406</v>
      </c>
      <c r="D41" s="11"/>
      <c r="E41" s="11"/>
      <c r="F41" s="24"/>
      <c r="G41" s="38" t="s">
        <v>2407</v>
      </c>
      <c r="H41" s="11"/>
      <c r="I41" s="11"/>
      <c r="J41" s="11"/>
      <c r="K41" s="11"/>
      <c r="L41" s="11"/>
      <c r="M41" s="11"/>
      <c r="N41" s="11"/>
      <c r="O41" s="11"/>
      <c r="P41" s="11"/>
      <c r="Q41" s="11"/>
      <c r="R41" s="11"/>
      <c r="S41" s="24"/>
      <c r="T41" s="24"/>
      <c r="U41" s="24"/>
      <c r="V41" s="24"/>
    </row>
    <row r="42" spans="1:22" ht="51">
      <c r="A42" s="10" t="s">
        <v>832</v>
      </c>
      <c r="B42" s="11" t="str">
        <f>IFERROR(VLOOKUP(A42,Systems!A:B,2,FALSE),"Various")</f>
        <v>Fuel transfer system</v>
      </c>
      <c r="C42" s="11" t="s">
        <v>2406</v>
      </c>
      <c r="D42" s="11"/>
      <c r="E42" s="11"/>
      <c r="F42" s="24"/>
      <c r="G42" s="38" t="s">
        <v>2408</v>
      </c>
      <c r="H42" s="11"/>
      <c r="I42" s="11"/>
      <c r="J42" s="11"/>
      <c r="K42" s="11"/>
      <c r="L42" s="11"/>
      <c r="M42" s="11"/>
      <c r="N42" s="11"/>
      <c r="O42" s="11"/>
      <c r="P42" s="11"/>
      <c r="Q42" s="11"/>
      <c r="R42" s="11"/>
      <c r="S42" s="24"/>
      <c r="T42" s="24"/>
      <c r="U42" s="24"/>
      <c r="V42" s="24"/>
    </row>
    <row r="43" spans="1:22" ht="127.5">
      <c r="A43" s="10" t="s">
        <v>832</v>
      </c>
      <c r="B43" s="11" t="str">
        <f>IFERROR(VLOOKUP(A43,Systems!A:B,2,FALSE),"Various")</f>
        <v>Fuel transfer system</v>
      </c>
      <c r="C43" s="11" t="s">
        <v>2406</v>
      </c>
      <c r="D43" s="11"/>
      <c r="E43" s="11"/>
      <c r="F43" s="24"/>
      <c r="G43" s="38" t="s">
        <v>2409</v>
      </c>
      <c r="H43" s="11"/>
      <c r="I43" s="11"/>
      <c r="J43" s="11"/>
      <c r="K43" s="11"/>
      <c r="L43" s="11"/>
      <c r="M43" s="11"/>
      <c r="N43" s="11"/>
      <c r="O43" s="11"/>
      <c r="P43" s="11"/>
      <c r="Q43" s="11"/>
      <c r="R43" s="11"/>
      <c r="S43" s="24"/>
      <c r="T43" s="24"/>
      <c r="U43" s="24"/>
      <c r="V43" s="24"/>
    </row>
    <row r="44" spans="1:22" ht="63.75">
      <c r="A44" s="10" t="s">
        <v>832</v>
      </c>
      <c r="B44" s="11" t="str">
        <f>IFERROR(VLOOKUP(A44,Systems!A:B,2,FALSE),"Various")</f>
        <v>Fuel transfer system</v>
      </c>
      <c r="C44" s="11" t="s">
        <v>2406</v>
      </c>
      <c r="D44" s="11"/>
      <c r="E44" s="11"/>
      <c r="F44" s="24"/>
      <c r="G44" s="38" t="s">
        <v>2410</v>
      </c>
      <c r="H44" s="11"/>
      <c r="I44" s="11"/>
      <c r="J44" s="11"/>
      <c r="K44" s="11"/>
      <c r="L44" s="11"/>
      <c r="M44" s="11"/>
      <c r="N44" s="11"/>
      <c r="O44" s="11"/>
      <c r="P44" s="11"/>
      <c r="Q44" s="11"/>
      <c r="R44" s="11"/>
      <c r="S44" s="24"/>
      <c r="T44" s="24"/>
      <c r="U44" s="24"/>
      <c r="V44" s="24"/>
    </row>
    <row r="45" spans="1:22" ht="38.25">
      <c r="A45" s="10" t="s">
        <v>832</v>
      </c>
      <c r="B45" s="11" t="str">
        <f>IFERROR(VLOOKUP(A45,Systems!A:B,2,FALSE),"Various")</f>
        <v>Fuel transfer system</v>
      </c>
      <c r="C45" s="11" t="s">
        <v>2406</v>
      </c>
      <c r="D45" s="11"/>
      <c r="E45" s="11"/>
      <c r="F45" s="24"/>
      <c r="G45" s="38" t="s">
        <v>2411</v>
      </c>
      <c r="H45" s="11"/>
      <c r="I45" s="11"/>
      <c r="J45" s="11"/>
      <c r="K45" s="11"/>
      <c r="L45" s="11"/>
      <c r="M45" s="11"/>
      <c r="N45" s="11"/>
      <c r="O45" s="11"/>
      <c r="P45" s="11"/>
      <c r="Q45" s="11"/>
      <c r="R45" s="11"/>
      <c r="S45" s="24"/>
      <c r="T45" s="24"/>
      <c r="U45" s="24"/>
      <c r="V45" s="24"/>
    </row>
    <row r="46" spans="1:22" ht="41.25">
      <c r="A46" s="10" t="s">
        <v>2341</v>
      </c>
      <c r="B46" s="11" t="str">
        <f>IFERROR(VLOOKUP(A46,Systems!A:B,2,FALSE),"Various")</f>
        <v>Various</v>
      </c>
      <c r="C46" s="11" t="s">
        <v>2334</v>
      </c>
      <c r="D46" s="11"/>
      <c r="E46" s="11"/>
      <c r="F46" s="24" t="s">
        <v>2324</v>
      </c>
      <c r="G46" s="38" t="s">
        <v>2333</v>
      </c>
      <c r="H46" s="11"/>
      <c r="I46" s="11"/>
      <c r="J46" s="11"/>
      <c r="K46" s="11"/>
      <c r="L46" s="11"/>
      <c r="M46" s="11"/>
      <c r="N46" s="11"/>
      <c r="O46" s="11"/>
      <c r="P46" s="11"/>
      <c r="Q46" s="11"/>
      <c r="R46" s="11"/>
      <c r="S46" s="24"/>
      <c r="T46" s="24"/>
      <c r="U46" s="24"/>
      <c r="V46" s="24"/>
    </row>
    <row r="47" spans="1:22" ht="130.5">
      <c r="A47" s="10" t="s">
        <v>2341</v>
      </c>
      <c r="B47" s="11" t="str">
        <f>IFERROR(VLOOKUP(A47,Systems!A:B,2,FALSE),"Various")</f>
        <v>Various</v>
      </c>
      <c r="C47" s="11" t="s">
        <v>2334</v>
      </c>
      <c r="D47" s="11"/>
      <c r="E47" s="11"/>
      <c r="F47" s="24" t="s">
        <v>2324</v>
      </c>
      <c r="G47" s="38" t="s">
        <v>2335</v>
      </c>
      <c r="H47" s="11"/>
      <c r="I47" s="11"/>
      <c r="J47" s="11"/>
      <c r="K47" s="11"/>
      <c r="L47" s="11"/>
      <c r="M47" s="11"/>
      <c r="N47" s="11"/>
      <c r="O47" s="11"/>
      <c r="P47" s="11"/>
      <c r="Q47" s="11"/>
      <c r="R47" s="11"/>
      <c r="S47" s="24"/>
      <c r="T47" s="24"/>
      <c r="U47" s="24"/>
      <c r="V47" s="24"/>
    </row>
    <row r="48" spans="1:22" ht="28.5">
      <c r="A48" s="10" t="s">
        <v>2341</v>
      </c>
      <c r="B48" s="11" t="str">
        <f>IFERROR(VLOOKUP(A48,Systems!A:B,2,FALSE),"Various")</f>
        <v>Various</v>
      </c>
      <c r="C48" s="11" t="s">
        <v>2334</v>
      </c>
      <c r="D48" s="11"/>
      <c r="E48" s="11"/>
      <c r="F48" s="24" t="s">
        <v>2324</v>
      </c>
      <c r="G48" s="38" t="s">
        <v>2336</v>
      </c>
      <c r="H48" s="11"/>
      <c r="I48" s="11"/>
      <c r="J48" s="11"/>
      <c r="K48" s="11"/>
      <c r="L48" s="11"/>
      <c r="M48" s="11"/>
      <c r="N48" s="11"/>
      <c r="O48" s="11"/>
      <c r="P48" s="11"/>
      <c r="Q48" s="11"/>
      <c r="R48" s="11"/>
      <c r="S48" s="24"/>
      <c r="T48" s="24"/>
      <c r="U48" s="24"/>
      <c r="V48" s="24"/>
    </row>
    <row r="49" spans="1:22" ht="79.5">
      <c r="A49" s="10" t="s">
        <v>2341</v>
      </c>
      <c r="B49" s="11" t="str">
        <f>IFERROR(VLOOKUP(A49,Systems!A:B,2,FALSE),"Various")</f>
        <v>Various</v>
      </c>
      <c r="C49" s="11" t="s">
        <v>2334</v>
      </c>
      <c r="D49" s="11"/>
      <c r="E49" s="11"/>
      <c r="F49" s="24" t="s">
        <v>2324</v>
      </c>
      <c r="G49" s="38" t="s">
        <v>2337</v>
      </c>
      <c r="H49" s="11"/>
      <c r="I49" s="11"/>
      <c r="J49" s="11"/>
      <c r="K49" s="11"/>
      <c r="L49" s="11"/>
      <c r="M49" s="11"/>
      <c r="N49" s="11"/>
      <c r="O49" s="11"/>
      <c r="P49" s="11"/>
      <c r="Q49" s="11"/>
      <c r="R49" s="11"/>
      <c r="S49" s="24"/>
      <c r="T49" s="24"/>
      <c r="U49" s="24"/>
      <c r="V49" s="24"/>
    </row>
    <row r="50" spans="1:22" ht="76.5">
      <c r="A50" s="10" t="s">
        <v>2341</v>
      </c>
      <c r="B50" s="11" t="str">
        <f>IFERROR(VLOOKUP(A50,Systems!A:B,2,FALSE),"Various")</f>
        <v>Various</v>
      </c>
      <c r="C50" s="11" t="s">
        <v>2339</v>
      </c>
      <c r="D50" s="11"/>
      <c r="E50" s="11"/>
      <c r="F50" s="24" t="s">
        <v>2324</v>
      </c>
      <c r="G50" s="38" t="s">
        <v>2338</v>
      </c>
      <c r="H50" s="11"/>
      <c r="I50" s="11"/>
      <c r="J50" s="11"/>
      <c r="K50" s="11"/>
      <c r="L50" s="11"/>
      <c r="M50" s="11"/>
      <c r="N50" s="11"/>
      <c r="O50" s="11"/>
      <c r="P50" s="11"/>
      <c r="Q50" s="11"/>
      <c r="R50" s="11"/>
      <c r="S50" s="24"/>
      <c r="T50" s="24"/>
      <c r="U50" s="24"/>
      <c r="V50" s="24"/>
    </row>
    <row r="51" spans="1:22" ht="51">
      <c r="A51" s="10" t="s">
        <v>2341</v>
      </c>
      <c r="B51" s="11" t="str">
        <f>IFERROR(VLOOKUP(A51,Systems!A:B,2,FALSE),"Various")</f>
        <v>Various</v>
      </c>
      <c r="C51" s="11" t="s">
        <v>2340</v>
      </c>
      <c r="D51" s="11"/>
      <c r="E51" s="11"/>
      <c r="F51" s="24" t="s">
        <v>2324</v>
      </c>
      <c r="G51" s="38" t="s">
        <v>2342</v>
      </c>
      <c r="H51" s="11"/>
      <c r="I51" s="11"/>
      <c r="J51" s="11"/>
      <c r="K51" s="11"/>
      <c r="L51" s="11"/>
      <c r="M51" s="11"/>
      <c r="N51" s="11"/>
      <c r="O51" s="11"/>
      <c r="P51" s="11"/>
      <c r="Q51" s="11"/>
      <c r="R51" s="11"/>
      <c r="S51" s="24"/>
      <c r="T51" s="24"/>
      <c r="U51" s="24"/>
      <c r="V51" s="24"/>
    </row>
    <row r="52" spans="1:22" ht="114.75">
      <c r="A52" s="10" t="s">
        <v>2341</v>
      </c>
      <c r="B52" s="11" t="str">
        <f>IFERROR(VLOOKUP(A52,Systems!A:B,2,FALSE),"Various")</f>
        <v>Various</v>
      </c>
      <c r="C52" s="11" t="s">
        <v>2340</v>
      </c>
      <c r="D52" s="11"/>
      <c r="E52" s="11"/>
      <c r="F52" s="24" t="s">
        <v>2324</v>
      </c>
      <c r="G52" s="38" t="s">
        <v>2343</v>
      </c>
      <c r="H52" s="11"/>
      <c r="I52" s="11"/>
      <c r="J52" s="11"/>
      <c r="K52" s="11"/>
      <c r="L52" s="11"/>
      <c r="M52" s="11"/>
      <c r="N52" s="11"/>
      <c r="O52" s="11"/>
      <c r="P52" s="11"/>
      <c r="Q52" s="11"/>
      <c r="R52" s="11"/>
      <c r="S52" s="24"/>
      <c r="T52" s="24"/>
      <c r="U52" s="24"/>
      <c r="V52" s="24"/>
    </row>
    <row r="53" spans="1:22" ht="102">
      <c r="A53" s="10" t="s">
        <v>2341</v>
      </c>
      <c r="B53" s="11" t="str">
        <f>IFERROR(VLOOKUP(A53,Systems!A:B,2,FALSE),"Various")</f>
        <v>Various</v>
      </c>
      <c r="C53" s="11" t="s">
        <v>2340</v>
      </c>
      <c r="D53" s="11"/>
      <c r="E53" s="11"/>
      <c r="F53" s="24" t="s">
        <v>2324</v>
      </c>
      <c r="G53" s="38" t="s">
        <v>2344</v>
      </c>
      <c r="H53" s="11"/>
      <c r="I53" s="11"/>
      <c r="J53" s="11"/>
      <c r="K53" s="11"/>
      <c r="L53" s="11"/>
      <c r="M53" s="11"/>
      <c r="N53" s="11"/>
      <c r="O53" s="11"/>
      <c r="P53" s="11"/>
      <c r="Q53" s="11"/>
      <c r="R53" s="11"/>
      <c r="S53" s="24"/>
      <c r="T53" s="24"/>
      <c r="U53" s="24"/>
      <c r="V53" s="24"/>
    </row>
    <row r="54" spans="1:22" ht="63.75">
      <c r="A54" s="10" t="s">
        <v>2341</v>
      </c>
      <c r="B54" s="11" t="str">
        <f>IFERROR(VLOOKUP(A54,Systems!A:B,2,FALSE),"Various")</f>
        <v>Various</v>
      </c>
      <c r="C54" s="11" t="s">
        <v>2340</v>
      </c>
      <c r="D54" s="11"/>
      <c r="E54" s="11"/>
      <c r="F54" s="24" t="s">
        <v>2324</v>
      </c>
      <c r="G54" s="38" t="s">
        <v>2345</v>
      </c>
      <c r="H54" s="11"/>
      <c r="I54" s="11"/>
      <c r="J54" s="11"/>
      <c r="K54" s="11"/>
      <c r="L54" s="11"/>
      <c r="M54" s="11"/>
      <c r="N54" s="11"/>
      <c r="O54" s="11"/>
      <c r="P54" s="11"/>
      <c r="Q54" s="11"/>
      <c r="R54" s="11"/>
      <c r="S54" s="24"/>
      <c r="T54" s="24"/>
      <c r="U54" s="24"/>
      <c r="V54" s="24"/>
    </row>
    <row r="55" spans="1:22" ht="63.75">
      <c r="A55" s="10" t="s">
        <v>2341</v>
      </c>
      <c r="B55" s="11" t="str">
        <f>IFERROR(VLOOKUP(A55,Systems!A:B,2,FALSE),"Various")</f>
        <v>Various</v>
      </c>
      <c r="C55" s="11" t="s">
        <v>2340</v>
      </c>
      <c r="D55" s="11"/>
      <c r="E55" s="11"/>
      <c r="F55" s="24" t="s">
        <v>2324</v>
      </c>
      <c r="G55" s="38" t="s">
        <v>2346</v>
      </c>
      <c r="H55" s="11"/>
      <c r="I55" s="11"/>
      <c r="J55" s="11"/>
      <c r="K55" s="11"/>
      <c r="L55" s="11"/>
      <c r="M55" s="11"/>
      <c r="N55" s="11"/>
      <c r="O55" s="11"/>
      <c r="P55" s="11"/>
      <c r="Q55" s="11"/>
      <c r="R55" s="11"/>
      <c r="S55" s="24"/>
      <c r="T55" s="24"/>
      <c r="U55" s="24"/>
      <c r="V55" s="24"/>
    </row>
    <row r="56" spans="1:22" ht="25.5">
      <c r="A56" s="10" t="s">
        <v>2341</v>
      </c>
      <c r="B56" s="11" t="str">
        <f>IFERROR(VLOOKUP(A56,Systems!A:B,2,FALSE),"Various")</f>
        <v>Various</v>
      </c>
      <c r="C56" s="11" t="s">
        <v>2340</v>
      </c>
      <c r="D56" s="11"/>
      <c r="E56" s="11"/>
      <c r="F56" s="24" t="s">
        <v>2324</v>
      </c>
      <c r="G56" s="38" t="s">
        <v>2347</v>
      </c>
      <c r="H56" s="11"/>
      <c r="I56" s="11"/>
      <c r="J56" s="11"/>
      <c r="K56" s="11"/>
      <c r="L56" s="11"/>
      <c r="M56" s="11"/>
      <c r="N56" s="11"/>
      <c r="O56" s="11"/>
      <c r="P56" s="11"/>
      <c r="Q56" s="11"/>
      <c r="R56" s="11"/>
      <c r="S56" s="24"/>
      <c r="T56" s="24"/>
      <c r="U56" s="24"/>
      <c r="V56" s="24"/>
    </row>
    <row r="57" spans="1:22" ht="76.5">
      <c r="A57" s="10" t="s">
        <v>2341</v>
      </c>
      <c r="B57" s="11" t="str">
        <f>IFERROR(VLOOKUP(A57,Systems!A:B,2,FALSE),"Various")</f>
        <v>Various</v>
      </c>
      <c r="C57" s="11" t="s">
        <v>2340</v>
      </c>
      <c r="D57" s="11"/>
      <c r="E57" s="11"/>
      <c r="F57" s="24" t="s">
        <v>2324</v>
      </c>
      <c r="G57" s="38" t="s">
        <v>2348</v>
      </c>
      <c r="H57" s="11"/>
      <c r="I57" s="11"/>
      <c r="J57" s="11"/>
      <c r="K57" s="11"/>
      <c r="L57" s="11"/>
      <c r="M57" s="11"/>
      <c r="N57" s="11"/>
      <c r="O57" s="11"/>
      <c r="P57" s="11"/>
      <c r="Q57" s="11"/>
      <c r="R57" s="11"/>
      <c r="S57" s="24"/>
      <c r="T57" s="24"/>
      <c r="U57" s="24"/>
      <c r="V57" s="24"/>
    </row>
    <row r="58" spans="1:22" ht="409.5">
      <c r="A58" s="10" t="s">
        <v>2341</v>
      </c>
      <c r="B58" s="11" t="str">
        <f>IFERROR(VLOOKUP(A58,Systems!A:B,2,FALSE),"Various")</f>
        <v>Various</v>
      </c>
      <c r="C58" s="11" t="s">
        <v>2352</v>
      </c>
      <c r="D58" s="11"/>
      <c r="E58" s="11"/>
      <c r="F58" s="24" t="s">
        <v>2324</v>
      </c>
      <c r="G58" s="38" t="s">
        <v>2349</v>
      </c>
      <c r="H58" s="11"/>
      <c r="I58" s="11"/>
      <c r="J58" s="11"/>
      <c r="K58" s="11"/>
      <c r="L58" s="11"/>
      <c r="M58" s="11"/>
      <c r="N58" s="11"/>
      <c r="O58" s="11"/>
      <c r="P58" s="11"/>
      <c r="Q58" s="11"/>
      <c r="R58" s="11"/>
      <c r="S58" s="24"/>
      <c r="T58" s="24"/>
      <c r="U58" s="24"/>
      <c r="V58" s="24"/>
    </row>
    <row r="59" spans="1:22" ht="41.25">
      <c r="A59" s="10" t="s">
        <v>2341</v>
      </c>
      <c r="B59" s="11" t="str">
        <f>IFERROR(VLOOKUP(A59,Systems!A:B,2,FALSE),"Various")</f>
        <v>Various</v>
      </c>
      <c r="C59" s="11" t="s">
        <v>2353</v>
      </c>
      <c r="D59" s="11"/>
      <c r="E59" s="11"/>
      <c r="F59" s="24" t="s">
        <v>2324</v>
      </c>
      <c r="G59" s="38" t="s">
        <v>2350</v>
      </c>
      <c r="H59" s="11"/>
      <c r="I59" s="11"/>
      <c r="J59" s="11"/>
      <c r="K59" s="11"/>
      <c r="L59" s="11"/>
      <c r="M59" s="11"/>
      <c r="N59" s="11"/>
      <c r="O59" s="11"/>
      <c r="P59" s="11"/>
      <c r="Q59" s="11"/>
      <c r="R59" s="11"/>
      <c r="S59" s="24"/>
      <c r="T59" s="24"/>
      <c r="U59" s="24"/>
      <c r="V59" s="24"/>
    </row>
    <row r="60" spans="1:22" ht="267.75">
      <c r="A60" s="10" t="s">
        <v>2341</v>
      </c>
      <c r="B60" s="11" t="str">
        <f>IFERROR(VLOOKUP(A60,Systems!A:B,2,FALSE),"Various")</f>
        <v>Various</v>
      </c>
      <c r="C60" s="11" t="s">
        <v>2353</v>
      </c>
      <c r="D60" s="11"/>
      <c r="E60" s="11"/>
      <c r="F60" s="24" t="s">
        <v>2324</v>
      </c>
      <c r="G60" s="38" t="s">
        <v>2351</v>
      </c>
      <c r="H60" s="11"/>
      <c r="I60" s="11"/>
      <c r="J60" s="11"/>
      <c r="K60" s="11"/>
      <c r="L60" s="11"/>
      <c r="M60" s="11"/>
      <c r="N60" s="11"/>
      <c r="O60" s="11"/>
      <c r="P60" s="11"/>
      <c r="Q60" s="11"/>
      <c r="R60" s="11"/>
      <c r="S60" s="24"/>
      <c r="T60" s="24"/>
      <c r="U60" s="24"/>
      <c r="V60" s="24"/>
    </row>
    <row r="61" spans="1:22" ht="38.25">
      <c r="A61" s="10" t="s">
        <v>2341</v>
      </c>
      <c r="B61" s="11" t="str">
        <f>IFERROR(VLOOKUP(A61,Systems!A:B,2,FALSE),"Various")</f>
        <v>Various</v>
      </c>
      <c r="C61" s="11" t="s">
        <v>2353</v>
      </c>
      <c r="D61" s="11"/>
      <c r="E61" s="11"/>
      <c r="F61" s="24" t="s">
        <v>2324</v>
      </c>
      <c r="G61" s="38" t="s">
        <v>2354</v>
      </c>
      <c r="H61" s="11"/>
      <c r="I61" s="11"/>
      <c r="J61" s="11"/>
      <c r="K61" s="11"/>
      <c r="L61" s="11"/>
      <c r="M61" s="11"/>
      <c r="N61" s="11"/>
      <c r="O61" s="11"/>
      <c r="P61" s="11"/>
      <c r="Q61" s="11"/>
      <c r="R61" s="11"/>
      <c r="S61" s="24"/>
      <c r="T61" s="24"/>
      <c r="U61" s="24"/>
      <c r="V61" s="24"/>
    </row>
    <row r="62" spans="1:22" ht="181.5">
      <c r="A62" s="10" t="s">
        <v>2341</v>
      </c>
      <c r="B62" s="11" t="str">
        <f>IFERROR(VLOOKUP(A62,Systems!A:B,2,FALSE),"Various")</f>
        <v>Various</v>
      </c>
      <c r="C62" s="11" t="s">
        <v>2355</v>
      </c>
      <c r="D62" s="11"/>
      <c r="E62" s="11"/>
      <c r="F62" s="24" t="s">
        <v>2324</v>
      </c>
      <c r="G62" s="38" t="s">
        <v>2356</v>
      </c>
      <c r="H62" s="11"/>
      <c r="I62" s="11"/>
      <c r="J62" s="11"/>
      <c r="K62" s="11"/>
      <c r="L62" s="11"/>
      <c r="M62" s="11"/>
      <c r="N62" s="11"/>
      <c r="O62" s="11"/>
      <c r="P62" s="11"/>
      <c r="Q62" s="11"/>
      <c r="R62" s="11"/>
      <c r="S62" s="24"/>
      <c r="T62" s="24"/>
      <c r="U62" s="24"/>
      <c r="V62" s="24"/>
    </row>
    <row r="63" spans="1:22" ht="140.25">
      <c r="A63" s="10" t="s">
        <v>2341</v>
      </c>
      <c r="B63" s="11" t="str">
        <f>IFERROR(VLOOKUP(A63,Systems!A:B,2,FALSE),"Various")</f>
        <v>Various</v>
      </c>
      <c r="C63" s="11" t="s">
        <v>2358</v>
      </c>
      <c r="D63" s="11"/>
      <c r="E63" s="11"/>
      <c r="F63" s="24" t="s">
        <v>2324</v>
      </c>
      <c r="G63" s="38" t="s">
        <v>2357</v>
      </c>
      <c r="H63" s="11"/>
      <c r="I63" s="11"/>
      <c r="J63" s="11"/>
      <c r="K63" s="11"/>
      <c r="L63" s="11"/>
      <c r="M63" s="11"/>
      <c r="N63" s="11"/>
      <c r="O63" s="11"/>
      <c r="P63" s="11"/>
      <c r="Q63" s="11"/>
      <c r="R63" s="11"/>
      <c r="S63" s="24"/>
      <c r="T63" s="24"/>
      <c r="U63" s="24"/>
      <c r="V63" s="24"/>
    </row>
    <row r="64" spans="1:22" ht="51">
      <c r="A64" s="10" t="s">
        <v>2341</v>
      </c>
      <c r="B64" s="11" t="str">
        <f>IFERROR(VLOOKUP(A64,Systems!A:B,2,FALSE),"Various")</f>
        <v>Various</v>
      </c>
      <c r="C64" s="11" t="s">
        <v>2358</v>
      </c>
      <c r="D64" s="11"/>
      <c r="E64" s="11"/>
      <c r="F64" s="24" t="s">
        <v>2324</v>
      </c>
      <c r="G64" s="38" t="s">
        <v>2359</v>
      </c>
      <c r="H64" s="11"/>
      <c r="I64" s="11"/>
      <c r="J64" s="11"/>
      <c r="K64" s="11"/>
      <c r="L64" s="11"/>
      <c r="M64" s="11"/>
      <c r="N64" s="11"/>
      <c r="O64" s="11"/>
      <c r="P64" s="11"/>
      <c r="Q64" s="11"/>
      <c r="R64" s="11"/>
      <c r="S64" s="24"/>
      <c r="T64" s="24"/>
      <c r="U64" s="24"/>
      <c r="V64" s="24"/>
    </row>
    <row r="65" spans="1:22" ht="38.25">
      <c r="A65" s="10" t="s">
        <v>2341</v>
      </c>
      <c r="B65" s="11" t="str">
        <f>IFERROR(VLOOKUP(A65,Systems!A:B,2,FALSE),"Various")</f>
        <v>Various</v>
      </c>
      <c r="C65" s="11" t="s">
        <v>2361</v>
      </c>
      <c r="D65" s="11"/>
      <c r="E65" s="11"/>
      <c r="F65" s="24" t="s">
        <v>2324</v>
      </c>
      <c r="G65" s="38" t="s">
        <v>2360</v>
      </c>
      <c r="H65" s="11"/>
      <c r="I65" s="11"/>
      <c r="J65" s="11"/>
      <c r="K65" s="11"/>
      <c r="L65" s="11"/>
      <c r="M65" s="11"/>
      <c r="N65" s="11"/>
      <c r="O65" s="11"/>
      <c r="P65" s="11"/>
      <c r="Q65" s="11"/>
      <c r="R65" s="11"/>
      <c r="S65" s="24"/>
      <c r="T65" s="24"/>
      <c r="U65" s="24"/>
      <c r="V65" s="24"/>
    </row>
    <row r="66" spans="1:22" ht="63.75">
      <c r="A66" s="10" t="s">
        <v>2341</v>
      </c>
      <c r="B66" s="11" t="str">
        <f>IFERROR(VLOOKUP(A66,Systems!A:B,2,FALSE),"Various")</f>
        <v>Various</v>
      </c>
      <c r="C66" s="11" t="s">
        <v>2363</v>
      </c>
      <c r="D66" s="11"/>
      <c r="E66" s="11"/>
      <c r="F66" s="24" t="s">
        <v>2324</v>
      </c>
      <c r="G66" s="38" t="s">
        <v>2362</v>
      </c>
      <c r="H66" s="11"/>
      <c r="I66" s="11"/>
      <c r="J66" s="11"/>
      <c r="K66" s="11"/>
      <c r="L66" s="11"/>
      <c r="M66" s="11"/>
      <c r="N66" s="11"/>
      <c r="O66" s="11"/>
      <c r="P66" s="11"/>
      <c r="Q66" s="11"/>
      <c r="R66" s="11"/>
      <c r="S66" s="24"/>
      <c r="T66" s="24"/>
      <c r="U66" s="24"/>
      <c r="V66" s="24"/>
    </row>
    <row r="67" spans="1:22" ht="229.5">
      <c r="A67" s="10" t="s">
        <v>2341</v>
      </c>
      <c r="B67" s="11" t="str">
        <f>IFERROR(VLOOKUP(A67,Systems!A:B,2,FALSE),"Various")</f>
        <v>Various</v>
      </c>
      <c r="C67" s="11" t="s">
        <v>2363</v>
      </c>
      <c r="D67" s="11"/>
      <c r="E67" s="11"/>
      <c r="F67" s="24" t="s">
        <v>2324</v>
      </c>
      <c r="G67" s="38" t="s">
        <v>2364</v>
      </c>
      <c r="H67" s="11"/>
      <c r="I67" s="11"/>
      <c r="J67" s="11"/>
      <c r="K67" s="11"/>
      <c r="L67" s="11"/>
      <c r="M67" s="11"/>
      <c r="N67" s="11"/>
      <c r="O67" s="11"/>
      <c r="P67" s="11"/>
      <c r="Q67" s="11"/>
      <c r="R67" s="11"/>
      <c r="S67" s="24"/>
      <c r="T67" s="24"/>
      <c r="U67" s="24"/>
      <c r="V67" s="24"/>
    </row>
    <row r="68" spans="1:22" ht="25.5">
      <c r="A68" s="10" t="s">
        <v>2341</v>
      </c>
      <c r="B68" s="11" t="str">
        <f>IFERROR(VLOOKUP(A68,Systems!A:B,2,FALSE),"Various")</f>
        <v>Various</v>
      </c>
      <c r="C68" s="11" t="s">
        <v>2363</v>
      </c>
      <c r="D68" s="11"/>
      <c r="E68" s="11"/>
      <c r="F68" s="24" t="s">
        <v>2324</v>
      </c>
      <c r="G68" s="38" t="s">
        <v>2365</v>
      </c>
      <c r="H68" s="11"/>
      <c r="I68" s="11"/>
      <c r="J68" s="11"/>
      <c r="K68" s="11"/>
      <c r="L68" s="11"/>
      <c r="M68" s="11"/>
      <c r="N68" s="11"/>
      <c r="O68" s="11"/>
      <c r="P68" s="11"/>
      <c r="Q68" s="11"/>
      <c r="R68" s="11"/>
      <c r="S68" s="24"/>
      <c r="T68" s="24"/>
      <c r="U68" s="24"/>
      <c r="V68" s="24"/>
    </row>
    <row r="69" spans="1:22" ht="114.75">
      <c r="A69" s="10" t="s">
        <v>2341</v>
      </c>
      <c r="B69" s="11" t="str">
        <f>IFERROR(VLOOKUP(A69,Systems!A:B,2,FALSE),"Various")</f>
        <v>Various</v>
      </c>
      <c r="C69" s="11" t="s">
        <v>2363</v>
      </c>
      <c r="D69" s="11"/>
      <c r="E69" s="11"/>
      <c r="F69" s="24" t="s">
        <v>2324</v>
      </c>
      <c r="G69" s="38" t="s">
        <v>2366</v>
      </c>
      <c r="H69" s="11"/>
      <c r="I69" s="11"/>
      <c r="J69" s="11"/>
      <c r="K69" s="11"/>
      <c r="L69" s="11"/>
      <c r="M69" s="11"/>
      <c r="N69" s="11"/>
      <c r="O69" s="11"/>
      <c r="P69" s="11"/>
      <c r="Q69" s="11"/>
      <c r="R69" s="11"/>
      <c r="S69" s="24"/>
      <c r="T69" s="24"/>
      <c r="U69" s="24"/>
      <c r="V69" s="24"/>
    </row>
    <row r="70" spans="1:22" ht="25.5">
      <c r="A70" s="10" t="s">
        <v>2341</v>
      </c>
      <c r="B70" s="11" t="str">
        <f>IFERROR(VLOOKUP(A70,Systems!A:B,2,FALSE),"Various")</f>
        <v>Various</v>
      </c>
      <c r="C70" s="11" t="s">
        <v>2363</v>
      </c>
      <c r="D70" s="11"/>
      <c r="E70" s="11"/>
      <c r="F70" s="24" t="s">
        <v>2324</v>
      </c>
      <c r="G70" s="38" t="s">
        <v>2367</v>
      </c>
      <c r="H70" s="11"/>
      <c r="I70" s="11"/>
      <c r="J70" s="11"/>
      <c r="K70" s="11"/>
      <c r="L70" s="11"/>
      <c r="M70" s="11"/>
      <c r="N70" s="11"/>
      <c r="O70" s="11"/>
      <c r="P70" s="11"/>
      <c r="Q70" s="11"/>
      <c r="R70" s="11"/>
      <c r="S70" s="24"/>
      <c r="T70" s="24"/>
      <c r="U70" s="24"/>
      <c r="V70" s="24"/>
    </row>
    <row r="71" spans="1:22" ht="63.75">
      <c r="A71" s="10" t="s">
        <v>2341</v>
      </c>
      <c r="B71" s="11" t="str">
        <f>IFERROR(VLOOKUP(A71,Systems!A:B,2,FALSE),"Various")</f>
        <v>Various</v>
      </c>
      <c r="C71" s="11" t="s">
        <v>2363</v>
      </c>
      <c r="D71" s="11"/>
      <c r="E71" s="11"/>
      <c r="F71" s="24" t="s">
        <v>2324</v>
      </c>
      <c r="G71" s="38" t="s">
        <v>2368</v>
      </c>
      <c r="H71" s="11"/>
      <c r="I71" s="11"/>
      <c r="J71" s="11"/>
      <c r="K71" s="11"/>
      <c r="L71" s="11"/>
      <c r="M71" s="11"/>
      <c r="N71" s="11"/>
      <c r="O71" s="11"/>
      <c r="P71" s="11"/>
      <c r="Q71" s="11"/>
      <c r="R71" s="11"/>
      <c r="S71" s="24"/>
      <c r="T71" s="24"/>
      <c r="U71" s="24"/>
      <c r="V71" s="24"/>
    </row>
    <row r="72" spans="1:22" ht="409.5">
      <c r="A72" s="10" t="s">
        <v>2341</v>
      </c>
      <c r="B72" s="11" t="str">
        <f>IFERROR(VLOOKUP(A72,Systems!A:B,2,FALSE),"Various")</f>
        <v>Various</v>
      </c>
      <c r="C72" s="11" t="s">
        <v>2363</v>
      </c>
      <c r="D72" s="11"/>
      <c r="E72" s="11"/>
      <c r="F72" s="24" t="s">
        <v>2324</v>
      </c>
      <c r="G72" s="38" t="s">
        <v>2369</v>
      </c>
      <c r="H72" s="11"/>
      <c r="I72" s="11"/>
      <c r="J72" s="11"/>
      <c r="K72" s="11"/>
      <c r="L72" s="11"/>
      <c r="M72" s="11"/>
      <c r="N72" s="11"/>
      <c r="O72" s="11"/>
      <c r="P72" s="11"/>
      <c r="Q72" s="11"/>
      <c r="R72" s="11"/>
      <c r="S72" s="24"/>
      <c r="T72" s="24"/>
      <c r="U72" s="24"/>
      <c r="V72" s="24"/>
    </row>
    <row r="73" spans="1:22" ht="102">
      <c r="A73" s="10" t="s">
        <v>2140</v>
      </c>
      <c r="B73" s="11" t="str">
        <f>IFERROR(VLOOKUP(A73,Systems!A:B,2,FALSE),"Various")</f>
        <v>Cargo inerting systems</v>
      </c>
      <c r="C73" s="11" t="s">
        <v>2370</v>
      </c>
      <c r="D73" s="11"/>
      <c r="E73" s="11"/>
      <c r="F73" s="24" t="s">
        <v>2324</v>
      </c>
      <c r="G73" s="38" t="s">
        <v>2371</v>
      </c>
      <c r="H73" s="11"/>
      <c r="I73" s="11"/>
      <c r="J73" s="11"/>
      <c r="K73" s="11"/>
      <c r="L73" s="11"/>
      <c r="M73" s="11"/>
      <c r="N73" s="11"/>
      <c r="O73" s="11"/>
      <c r="P73" s="11"/>
      <c r="Q73" s="11"/>
      <c r="R73" s="11"/>
      <c r="S73" s="24"/>
      <c r="T73" s="24"/>
      <c r="U73" s="24"/>
      <c r="V73" s="24"/>
    </row>
    <row r="74" spans="1:22" ht="38.25">
      <c r="A74" s="10" t="s">
        <v>2140</v>
      </c>
      <c r="B74" s="11" t="str">
        <f>IFERROR(VLOOKUP(A74,Systems!A:B,2,FALSE),"Various")</f>
        <v>Cargo inerting systems</v>
      </c>
      <c r="C74" s="11" t="s">
        <v>2370</v>
      </c>
      <c r="D74" s="11"/>
      <c r="E74" s="11"/>
      <c r="F74" s="24" t="s">
        <v>2324</v>
      </c>
      <c r="G74" s="38" t="s">
        <v>2372</v>
      </c>
      <c r="H74" s="11"/>
      <c r="I74" s="11"/>
      <c r="J74" s="11"/>
      <c r="K74" s="11"/>
      <c r="L74" s="11"/>
      <c r="M74" s="11"/>
      <c r="N74" s="11"/>
      <c r="O74" s="11"/>
      <c r="P74" s="11"/>
      <c r="Q74" s="11"/>
      <c r="R74" s="11"/>
      <c r="S74" s="24"/>
      <c r="T74" s="24"/>
      <c r="U74" s="24"/>
      <c r="V74" s="24"/>
    </row>
    <row r="75" spans="1:22" ht="63.75">
      <c r="A75" s="10" t="s">
        <v>2140</v>
      </c>
      <c r="B75" s="11" t="str">
        <f>IFERROR(VLOOKUP(A75,Systems!A:B,2,FALSE),"Various")</f>
        <v>Cargo inerting systems</v>
      </c>
      <c r="C75" s="11" t="s">
        <v>2370</v>
      </c>
      <c r="D75" s="11"/>
      <c r="E75" s="11"/>
      <c r="F75" s="24" t="s">
        <v>2324</v>
      </c>
      <c r="G75" s="38" t="s">
        <v>2373</v>
      </c>
      <c r="H75" s="11"/>
      <c r="I75" s="11"/>
      <c r="J75" s="11"/>
      <c r="K75" s="11"/>
      <c r="L75" s="11"/>
      <c r="M75" s="11"/>
      <c r="N75" s="11"/>
      <c r="O75" s="11"/>
      <c r="P75" s="11"/>
      <c r="Q75" s="11"/>
      <c r="R75" s="11"/>
      <c r="S75" s="24"/>
      <c r="T75" s="24"/>
      <c r="U75" s="24"/>
      <c r="V75" s="24"/>
    </row>
    <row r="76" spans="1:22" ht="38.25">
      <c r="A76" s="10" t="s">
        <v>2140</v>
      </c>
      <c r="B76" s="11" t="str">
        <f>IFERROR(VLOOKUP(A76,Systems!A:B,2,FALSE),"Various")</f>
        <v>Cargo inerting systems</v>
      </c>
      <c r="C76" s="11" t="s">
        <v>2370</v>
      </c>
      <c r="D76" s="11"/>
      <c r="E76" s="11"/>
      <c r="F76" s="24" t="s">
        <v>2324</v>
      </c>
      <c r="G76" s="38" t="s">
        <v>2374</v>
      </c>
      <c r="H76" s="11"/>
      <c r="I76" s="11"/>
      <c r="J76" s="11"/>
      <c r="K76" s="11"/>
      <c r="L76" s="11"/>
      <c r="M76" s="11"/>
      <c r="N76" s="11"/>
      <c r="O76" s="11"/>
      <c r="P76" s="11"/>
      <c r="Q76" s="11"/>
      <c r="R76" s="11"/>
      <c r="S76" s="24"/>
      <c r="T76" s="24"/>
      <c r="U76" s="24"/>
      <c r="V76" s="24"/>
    </row>
    <row r="77" spans="1:22" ht="51">
      <c r="A77" s="10" t="s">
        <v>2140</v>
      </c>
      <c r="B77" s="11" t="str">
        <f>IFERROR(VLOOKUP(A77,Systems!A:B,2,FALSE),"Various")</f>
        <v>Cargo inerting systems</v>
      </c>
      <c r="C77" s="11" t="s">
        <v>2370</v>
      </c>
      <c r="D77" s="11"/>
      <c r="E77" s="11"/>
      <c r="F77" s="24" t="s">
        <v>2324</v>
      </c>
      <c r="G77" s="38" t="s">
        <v>2375</v>
      </c>
      <c r="H77" s="11"/>
      <c r="I77" s="11"/>
      <c r="J77" s="11"/>
      <c r="K77" s="11"/>
      <c r="L77" s="11"/>
      <c r="M77" s="11"/>
      <c r="N77" s="11"/>
      <c r="O77" s="11"/>
      <c r="P77" s="11"/>
      <c r="Q77" s="11"/>
      <c r="R77" s="11"/>
      <c r="S77" s="24"/>
      <c r="T77" s="24"/>
      <c r="U77" s="24"/>
      <c r="V77" s="24"/>
    </row>
    <row r="78" spans="1:22" ht="165.75">
      <c r="A78" s="10" t="s">
        <v>2140</v>
      </c>
      <c r="B78" s="11" t="str">
        <f>IFERROR(VLOOKUP(A78,Systems!A:B,2,FALSE),"Various")</f>
        <v>Cargo inerting systems</v>
      </c>
      <c r="C78" s="11" t="s">
        <v>2376</v>
      </c>
      <c r="D78" s="11"/>
      <c r="E78" s="11"/>
      <c r="F78" s="24" t="s">
        <v>2324</v>
      </c>
      <c r="G78" s="38" t="s">
        <v>2377</v>
      </c>
      <c r="H78" s="11"/>
      <c r="I78" s="11"/>
      <c r="J78" s="11"/>
      <c r="K78" s="11"/>
      <c r="L78" s="11"/>
      <c r="M78" s="11"/>
      <c r="N78" s="11"/>
      <c r="O78" s="11"/>
      <c r="P78" s="11"/>
      <c r="Q78" s="11"/>
      <c r="R78" s="11"/>
      <c r="S78" s="24"/>
      <c r="T78" s="24"/>
      <c r="U78" s="24"/>
      <c r="V78" s="24"/>
    </row>
    <row r="79" spans="1:22" ht="63.75">
      <c r="A79" s="10" t="s">
        <v>2140</v>
      </c>
      <c r="B79" s="11" t="str">
        <f>IFERROR(VLOOKUP(A79,Systems!A:B,2,FALSE),"Various")</f>
        <v>Cargo inerting systems</v>
      </c>
      <c r="C79" s="11" t="s">
        <v>2376</v>
      </c>
      <c r="D79" s="11"/>
      <c r="E79" s="11"/>
      <c r="F79" s="24" t="s">
        <v>2324</v>
      </c>
      <c r="G79" s="38" t="s">
        <v>2378</v>
      </c>
      <c r="H79" s="11"/>
      <c r="I79" s="11"/>
      <c r="J79" s="11"/>
      <c r="K79" s="11"/>
      <c r="L79" s="11"/>
      <c r="M79" s="11"/>
      <c r="N79" s="11"/>
      <c r="O79" s="11"/>
      <c r="P79" s="11"/>
      <c r="Q79" s="11"/>
      <c r="R79" s="11"/>
      <c r="S79" s="24"/>
      <c r="T79" s="24"/>
      <c r="U79" s="24"/>
      <c r="V79" s="24"/>
    </row>
    <row r="80" spans="1:22" ht="153">
      <c r="A80" s="10" t="s">
        <v>2140</v>
      </c>
      <c r="B80" s="11" t="str">
        <f>IFERROR(VLOOKUP(A80,Systems!A:B,2,FALSE),"Various")</f>
        <v>Cargo inerting systems</v>
      </c>
      <c r="C80" s="11" t="s">
        <v>2376</v>
      </c>
      <c r="D80" s="11"/>
      <c r="E80" s="11"/>
      <c r="F80" s="24" t="s">
        <v>2324</v>
      </c>
      <c r="G80" s="38" t="s">
        <v>2379</v>
      </c>
      <c r="H80" s="11"/>
      <c r="I80" s="11"/>
      <c r="J80" s="11"/>
      <c r="K80" s="11"/>
      <c r="L80" s="11"/>
      <c r="M80" s="11"/>
      <c r="N80" s="11"/>
      <c r="O80" s="11"/>
      <c r="P80" s="11"/>
      <c r="Q80" s="11"/>
      <c r="R80" s="11"/>
      <c r="S80" s="24"/>
      <c r="T80" s="24"/>
      <c r="U80" s="24"/>
      <c r="V80" s="24"/>
    </row>
    <row r="81" spans="1:22" ht="51">
      <c r="A81" s="10" t="s">
        <v>2140</v>
      </c>
      <c r="B81" s="11" t="str">
        <f>IFERROR(VLOOKUP(A81,Systems!A:B,2,FALSE),"Various")</f>
        <v>Cargo inerting systems</v>
      </c>
      <c r="C81" s="11" t="s">
        <v>2376</v>
      </c>
      <c r="D81" s="11"/>
      <c r="E81" s="11"/>
      <c r="F81" s="24" t="s">
        <v>2324</v>
      </c>
      <c r="G81" s="38" t="s">
        <v>2380</v>
      </c>
      <c r="H81" s="11"/>
      <c r="I81" s="11"/>
      <c r="J81" s="11"/>
      <c r="K81" s="11"/>
      <c r="L81" s="11"/>
      <c r="M81" s="11"/>
      <c r="N81" s="11"/>
      <c r="O81" s="11"/>
      <c r="P81" s="11"/>
      <c r="Q81" s="11"/>
      <c r="R81" s="11"/>
      <c r="S81" s="24"/>
      <c r="T81" s="24"/>
      <c r="U81" s="24"/>
      <c r="V81" s="24"/>
    </row>
    <row r="82" spans="1:22" ht="89.25">
      <c r="A82" s="10" t="s">
        <v>2381</v>
      </c>
      <c r="B82" s="11" t="str">
        <f>IFERROR(VLOOKUP(A82,Systems!A:B,2,FALSE),"Various")</f>
        <v>Various</v>
      </c>
      <c r="C82" s="11" t="s">
        <v>2385</v>
      </c>
      <c r="D82" s="11"/>
      <c r="E82" s="11"/>
      <c r="F82" s="24" t="s">
        <v>2324</v>
      </c>
      <c r="G82" s="38" t="s">
        <v>2384</v>
      </c>
      <c r="H82" s="11"/>
      <c r="I82" s="11"/>
      <c r="J82" s="11"/>
      <c r="K82" s="11"/>
      <c r="L82" s="11"/>
      <c r="M82" s="11"/>
      <c r="N82" s="11"/>
      <c r="O82" s="11"/>
      <c r="P82" s="11"/>
      <c r="Q82" s="11"/>
      <c r="R82" s="11"/>
      <c r="S82" s="24"/>
      <c r="T82" s="24"/>
      <c r="U82" s="24"/>
      <c r="V82" s="24"/>
    </row>
    <row r="83" spans="1:22" ht="51">
      <c r="A83" s="10" t="s">
        <v>2140</v>
      </c>
      <c r="B83" s="11" t="str">
        <f>IFERROR(VLOOKUP(A83,Systems!A:B,2,FALSE),"Various")</f>
        <v>Cargo inerting systems</v>
      </c>
      <c r="C83" s="11" t="s">
        <v>2387</v>
      </c>
      <c r="D83" s="11"/>
      <c r="E83" s="11"/>
      <c r="F83" s="24" t="s">
        <v>2324</v>
      </c>
      <c r="G83" s="38" t="s">
        <v>2382</v>
      </c>
      <c r="H83" s="11"/>
      <c r="I83" s="11"/>
      <c r="J83" s="11"/>
      <c r="K83" s="11"/>
      <c r="L83" s="11"/>
      <c r="M83" s="11"/>
      <c r="N83" s="11"/>
      <c r="O83" s="11"/>
      <c r="P83" s="11"/>
      <c r="Q83" s="11"/>
      <c r="R83" s="11"/>
      <c r="S83" s="24"/>
      <c r="T83" s="24"/>
      <c r="U83" s="24"/>
      <c r="V83" s="24"/>
    </row>
    <row r="84" spans="1:22" ht="38.25">
      <c r="A84" s="10" t="s">
        <v>2140</v>
      </c>
      <c r="B84" s="11" t="str">
        <f>IFERROR(VLOOKUP(A84,Systems!A:B,2,FALSE),"Various")</f>
        <v>Cargo inerting systems</v>
      </c>
      <c r="C84" s="11" t="s">
        <v>2386</v>
      </c>
      <c r="D84" s="11"/>
      <c r="E84" s="11"/>
      <c r="F84" s="24" t="s">
        <v>2324</v>
      </c>
      <c r="G84" s="38" t="s">
        <v>2383</v>
      </c>
      <c r="H84" s="11"/>
      <c r="I84" s="11"/>
      <c r="J84" s="11"/>
      <c r="K84" s="11"/>
      <c r="L84" s="11"/>
      <c r="M84" s="11"/>
      <c r="N84" s="11"/>
      <c r="O84" s="11"/>
      <c r="P84" s="11"/>
      <c r="Q84" s="11"/>
      <c r="R84" s="11"/>
      <c r="S84" s="24"/>
      <c r="T84" s="24"/>
      <c r="U84" s="24"/>
      <c r="V84" s="24"/>
    </row>
    <row r="85" spans="1:22" ht="127.5">
      <c r="A85" s="10" t="s">
        <v>2140</v>
      </c>
      <c r="B85" s="11" t="str">
        <f>IFERROR(VLOOKUP(A85,Systems!A:B,2,FALSE),"Various")</f>
        <v>Cargo inerting systems</v>
      </c>
      <c r="C85" s="11" t="s">
        <v>2388</v>
      </c>
      <c r="D85" s="11"/>
      <c r="E85" s="11"/>
      <c r="F85" s="24" t="s">
        <v>2324</v>
      </c>
      <c r="G85" s="38" t="s">
        <v>2389</v>
      </c>
      <c r="H85" s="11"/>
      <c r="I85" s="11"/>
      <c r="J85" s="11"/>
      <c r="K85" s="11"/>
      <c r="L85" s="11"/>
      <c r="M85" s="11"/>
      <c r="N85" s="11"/>
      <c r="O85" s="11"/>
      <c r="P85" s="11"/>
      <c r="Q85" s="11"/>
      <c r="R85" s="11"/>
      <c r="S85" s="24"/>
      <c r="T85" s="24"/>
      <c r="U85" s="24"/>
      <c r="V85" s="24"/>
    </row>
    <row r="86" spans="1:22" ht="89.25">
      <c r="A86" s="10" t="s">
        <v>2140</v>
      </c>
      <c r="B86" s="11" t="str">
        <f>IFERROR(VLOOKUP(A86,Systems!A:B,2,FALSE),"Various")</f>
        <v>Cargo inerting systems</v>
      </c>
      <c r="C86" s="11" t="s">
        <v>2391</v>
      </c>
      <c r="D86" s="11"/>
      <c r="E86" s="11"/>
      <c r="F86" s="24" t="s">
        <v>2324</v>
      </c>
      <c r="G86" s="38" t="s">
        <v>2390</v>
      </c>
      <c r="H86" s="11"/>
      <c r="I86" s="11"/>
      <c r="J86" s="11"/>
      <c r="K86" s="11"/>
      <c r="L86" s="11"/>
      <c r="M86" s="11"/>
      <c r="N86" s="11"/>
      <c r="O86" s="11"/>
      <c r="P86" s="11"/>
      <c r="Q86" s="11"/>
      <c r="R86" s="11"/>
      <c r="S86" s="24"/>
      <c r="T86" s="24"/>
      <c r="U86" s="24"/>
      <c r="V86" s="24"/>
    </row>
    <row r="87" spans="1:22" ht="102">
      <c r="A87" s="10" t="s">
        <v>2140</v>
      </c>
      <c r="B87" s="11" t="str">
        <f>IFERROR(VLOOKUP(A87,Systems!A:B,2,FALSE),"Various")</f>
        <v>Cargo inerting systems</v>
      </c>
      <c r="C87" s="11" t="s">
        <v>2392</v>
      </c>
      <c r="D87" s="11"/>
      <c r="E87" s="11"/>
      <c r="F87" s="24" t="s">
        <v>2324</v>
      </c>
      <c r="G87" s="38" t="s">
        <v>2393</v>
      </c>
      <c r="H87" s="11"/>
      <c r="I87" s="11"/>
      <c r="J87" s="11"/>
      <c r="K87" s="11"/>
      <c r="L87" s="11"/>
      <c r="M87" s="11"/>
      <c r="N87" s="11"/>
      <c r="O87" s="11"/>
      <c r="P87" s="11"/>
      <c r="Q87" s="11"/>
      <c r="R87" s="11"/>
      <c r="S87" s="24"/>
      <c r="T87" s="24"/>
      <c r="U87" s="24"/>
      <c r="V87" s="24"/>
    </row>
    <row r="88" spans="1:22" ht="51">
      <c r="A88" s="10" t="s">
        <v>1244</v>
      </c>
      <c r="B88" s="11" t="str">
        <f>IFERROR(VLOOKUP(A88,Systems!A:B,2,FALSE),"Various")</f>
        <v>Various</v>
      </c>
      <c r="C88" s="11" t="s">
        <v>506</v>
      </c>
      <c r="D88" s="11"/>
      <c r="E88" s="11"/>
      <c r="F88" s="24" t="s">
        <v>1412</v>
      </c>
      <c r="G88" s="38"/>
      <c r="H88" s="11" t="s">
        <v>507</v>
      </c>
      <c r="I88" s="11"/>
      <c r="J88" s="11"/>
      <c r="K88" s="11"/>
      <c r="L88" s="11"/>
      <c r="M88" s="11"/>
      <c r="N88" s="11"/>
      <c r="O88" s="11"/>
      <c r="P88" s="11" t="s">
        <v>507</v>
      </c>
      <c r="Q88" s="11"/>
      <c r="R88" s="11"/>
      <c r="S88" s="24" t="s">
        <v>30</v>
      </c>
      <c r="T88" s="24"/>
      <c r="U88" s="24" t="str">
        <f t="shared" ref="U88:U103" si="1">IF(OR(NOT(H88=""),NOT(M88="")),"","x")</f>
        <v/>
      </c>
      <c r="V88" s="24"/>
    </row>
    <row r="89" spans="1:22" ht="76.5">
      <c r="A89" s="10" t="s">
        <v>848</v>
      </c>
      <c r="B89" s="11" t="str">
        <f>IFERROR(VLOOKUP(A89,Systems!A:B,2,FALSE),"Various")</f>
        <v>Railings / handrails / grips</v>
      </c>
      <c r="C89" s="11" t="s">
        <v>71</v>
      </c>
      <c r="D89" s="11"/>
      <c r="E89" s="11"/>
      <c r="F89" s="24" t="s">
        <v>1412</v>
      </c>
      <c r="G89" s="38"/>
      <c r="H89" s="11" t="s">
        <v>263</v>
      </c>
      <c r="I89" s="11"/>
      <c r="J89" s="11"/>
      <c r="K89" s="11"/>
      <c r="L89" s="11"/>
      <c r="M89" s="11"/>
      <c r="N89" s="11"/>
      <c r="O89" s="11"/>
      <c r="P89" s="11" t="s">
        <v>263</v>
      </c>
      <c r="Q89" s="11"/>
      <c r="R89" s="11"/>
      <c r="S89" s="24" t="s">
        <v>30</v>
      </c>
      <c r="T89" s="24"/>
      <c r="U89" s="24" t="str">
        <f t="shared" si="1"/>
        <v/>
      </c>
      <c r="V89" s="24"/>
    </row>
    <row r="90" spans="1:22" ht="178.5">
      <c r="A90" s="10" t="s">
        <v>848</v>
      </c>
      <c r="B90" s="11" t="str">
        <f>IFERROR(VLOOKUP(A90,Systems!A:B,2,FALSE),"Various")</f>
        <v>Railings / handrails / grips</v>
      </c>
      <c r="C90" s="11" t="s">
        <v>265</v>
      </c>
      <c r="D90" s="11"/>
      <c r="E90" s="11"/>
      <c r="F90" s="24" t="s">
        <v>1412</v>
      </c>
      <c r="G90" s="38"/>
      <c r="H90" s="11" t="s">
        <v>264</v>
      </c>
      <c r="I90" s="11"/>
      <c r="J90" s="11"/>
      <c r="K90" s="11"/>
      <c r="L90" s="11"/>
      <c r="M90" s="11"/>
      <c r="N90" s="11"/>
      <c r="O90" s="11"/>
      <c r="P90" s="11" t="s">
        <v>264</v>
      </c>
      <c r="Q90" s="11"/>
      <c r="R90" s="11"/>
      <c r="S90" s="24" t="s">
        <v>30</v>
      </c>
      <c r="T90" s="24"/>
      <c r="U90" s="24" t="str">
        <f t="shared" si="1"/>
        <v/>
      </c>
      <c r="V90" s="24"/>
    </row>
    <row r="91" spans="1:22" ht="25.5">
      <c r="A91" s="10" t="s">
        <v>433</v>
      </c>
      <c r="B91" s="11" t="str">
        <f>IFERROR(VLOOKUP(A91,Systems!A:B,2,FALSE),"Various")</f>
        <v>Ventilation system</v>
      </c>
      <c r="C91" s="11" t="s">
        <v>1687</v>
      </c>
      <c r="D91" s="11"/>
      <c r="E91" s="11"/>
      <c r="F91" s="24" t="s">
        <v>1412</v>
      </c>
      <c r="G91" s="38"/>
      <c r="H91" s="11" t="s">
        <v>1672</v>
      </c>
      <c r="I91" s="11"/>
      <c r="J91" s="11"/>
      <c r="K91" s="11"/>
      <c r="L91" s="11"/>
      <c r="M91" s="11"/>
      <c r="N91" s="11"/>
      <c r="O91" s="11"/>
      <c r="P91" s="11"/>
      <c r="Q91" s="11"/>
      <c r="R91" s="11"/>
      <c r="S91" s="24" t="s">
        <v>30</v>
      </c>
      <c r="T91" s="24"/>
      <c r="U91" s="24" t="str">
        <f t="shared" si="1"/>
        <v/>
      </c>
      <c r="V91" s="24"/>
    </row>
    <row r="92" spans="1:22" ht="63.75">
      <c r="A92" s="10" t="s">
        <v>433</v>
      </c>
      <c r="B92" s="11" t="str">
        <f>IFERROR(VLOOKUP(A92,Systems!A:B,2,FALSE),"Various")</f>
        <v>Ventilation system</v>
      </c>
      <c r="C92" s="11" t="s">
        <v>1673</v>
      </c>
      <c r="D92" s="11"/>
      <c r="E92" s="11"/>
      <c r="F92" s="24" t="s">
        <v>1412</v>
      </c>
      <c r="G92" s="38"/>
      <c r="H92" s="11" t="s">
        <v>1674</v>
      </c>
      <c r="I92" s="11"/>
      <c r="J92" s="11"/>
      <c r="K92" s="11"/>
      <c r="L92" s="11"/>
      <c r="M92" s="11"/>
      <c r="N92" s="11"/>
      <c r="O92" s="11"/>
      <c r="P92" s="11"/>
      <c r="Q92" s="11"/>
      <c r="R92" s="11"/>
      <c r="S92" s="24" t="s">
        <v>30</v>
      </c>
      <c r="T92" s="24"/>
      <c r="U92" s="24" t="str">
        <f t="shared" si="1"/>
        <v/>
      </c>
      <c r="V92" s="24"/>
    </row>
    <row r="93" spans="1:22" ht="25.5">
      <c r="A93" s="10" t="s">
        <v>433</v>
      </c>
      <c r="B93" s="11" t="str">
        <f>IFERROR(VLOOKUP(A93,Systems!A:B,2,FALSE),"Various")</f>
        <v>Ventilation system</v>
      </c>
      <c r="C93" s="11" t="s">
        <v>1675</v>
      </c>
      <c r="D93" s="11"/>
      <c r="E93" s="11"/>
      <c r="F93" s="24" t="s">
        <v>1412</v>
      </c>
      <c r="G93" s="38"/>
      <c r="H93" s="11" t="s">
        <v>1676</v>
      </c>
      <c r="I93" s="11"/>
      <c r="J93" s="11"/>
      <c r="K93" s="11"/>
      <c r="L93" s="11"/>
      <c r="M93" s="11"/>
      <c r="N93" s="11"/>
      <c r="O93" s="11"/>
      <c r="P93" s="11"/>
      <c r="Q93" s="11"/>
      <c r="R93" s="11"/>
      <c r="S93" s="24" t="s">
        <v>30</v>
      </c>
      <c r="T93" s="24"/>
      <c r="U93" s="24" t="str">
        <f t="shared" si="1"/>
        <v/>
      </c>
      <c r="V93" s="24"/>
    </row>
    <row r="94" spans="1:22" ht="38.25">
      <c r="A94" s="10" t="s">
        <v>433</v>
      </c>
      <c r="B94" s="11" t="str">
        <f>IFERROR(VLOOKUP(A94,Systems!A:B,2,FALSE),"Various")</f>
        <v>Ventilation system</v>
      </c>
      <c r="C94" s="11" t="s">
        <v>1678</v>
      </c>
      <c r="D94" s="11"/>
      <c r="E94" s="11"/>
      <c r="F94" s="24" t="s">
        <v>1412</v>
      </c>
      <c r="G94" s="38"/>
      <c r="H94" s="11" t="s">
        <v>1677</v>
      </c>
      <c r="I94" s="11"/>
      <c r="J94" s="11"/>
      <c r="K94" s="11"/>
      <c r="L94" s="11"/>
      <c r="M94" s="11"/>
      <c r="N94" s="11"/>
      <c r="O94" s="11"/>
      <c r="P94" s="11"/>
      <c r="Q94" s="11"/>
      <c r="R94" s="11"/>
      <c r="S94" s="24" t="s">
        <v>30</v>
      </c>
      <c r="T94" s="24"/>
      <c r="U94" s="24" t="str">
        <f t="shared" si="1"/>
        <v/>
      </c>
      <c r="V94" s="24"/>
    </row>
    <row r="95" spans="1:22" ht="140.25">
      <c r="A95" s="10" t="s">
        <v>433</v>
      </c>
      <c r="B95" s="11" t="str">
        <f>IFERROR(VLOOKUP(A95,Systems!A:B,2,FALSE),"Various")</f>
        <v>Ventilation system</v>
      </c>
      <c r="C95" s="11" t="s">
        <v>1679</v>
      </c>
      <c r="D95" s="11"/>
      <c r="E95" s="11"/>
      <c r="F95" s="24" t="s">
        <v>1412</v>
      </c>
      <c r="G95" s="38"/>
      <c r="H95" s="11" t="s">
        <v>1820</v>
      </c>
      <c r="I95" s="11"/>
      <c r="J95" s="11"/>
      <c r="K95" s="11"/>
      <c r="L95" s="11"/>
      <c r="M95" s="11"/>
      <c r="N95" s="11"/>
      <c r="O95" s="11"/>
      <c r="P95" s="11"/>
      <c r="Q95" s="11"/>
      <c r="R95" s="11"/>
      <c r="S95" s="24" t="s">
        <v>30</v>
      </c>
      <c r="T95" s="24"/>
      <c r="U95" s="24" t="str">
        <f t="shared" si="1"/>
        <v/>
      </c>
      <c r="V95" s="24"/>
    </row>
    <row r="96" spans="1:22" ht="114.75">
      <c r="A96" s="10" t="s">
        <v>433</v>
      </c>
      <c r="B96" s="11" t="str">
        <f>IFERROR(VLOOKUP(A96,Systems!A:B,2,FALSE),"Various")</f>
        <v>Ventilation system</v>
      </c>
      <c r="C96" s="11" t="s">
        <v>1680</v>
      </c>
      <c r="D96" s="11"/>
      <c r="E96" s="11"/>
      <c r="F96" s="24" t="s">
        <v>1412</v>
      </c>
      <c r="G96" s="38"/>
      <c r="H96" s="11" t="s">
        <v>1821</v>
      </c>
      <c r="I96" s="11"/>
      <c r="J96" s="11"/>
      <c r="K96" s="11"/>
      <c r="L96" s="11"/>
      <c r="M96" s="11"/>
      <c r="N96" s="11"/>
      <c r="O96" s="11"/>
      <c r="P96" s="11"/>
      <c r="Q96" s="11"/>
      <c r="R96" s="11"/>
      <c r="S96" s="24" t="s">
        <v>30</v>
      </c>
      <c r="T96" s="24"/>
      <c r="U96" s="24" t="str">
        <f t="shared" si="1"/>
        <v/>
      </c>
      <c r="V96" s="24"/>
    </row>
    <row r="97" spans="1:22" ht="89.25">
      <c r="A97" s="10" t="s">
        <v>433</v>
      </c>
      <c r="B97" s="11" t="str">
        <f>IFERROR(VLOOKUP(A97,Systems!A:B,2,FALSE),"Various")</f>
        <v>Ventilation system</v>
      </c>
      <c r="C97" s="11" t="s">
        <v>1682</v>
      </c>
      <c r="D97" s="11"/>
      <c r="E97" s="11"/>
      <c r="F97" s="24" t="s">
        <v>1412</v>
      </c>
      <c r="G97" s="38"/>
      <c r="H97" s="11" t="s">
        <v>1681</v>
      </c>
      <c r="I97" s="11"/>
      <c r="J97" s="11"/>
      <c r="K97" s="11"/>
      <c r="L97" s="11"/>
      <c r="M97" s="11"/>
      <c r="N97" s="11"/>
      <c r="O97" s="11"/>
      <c r="P97" s="11"/>
      <c r="Q97" s="11"/>
      <c r="R97" s="11"/>
      <c r="S97" s="24" t="s">
        <v>30</v>
      </c>
      <c r="T97" s="24"/>
      <c r="U97" s="24" t="str">
        <f t="shared" si="1"/>
        <v/>
      </c>
      <c r="V97" s="24"/>
    </row>
    <row r="98" spans="1:22" ht="229.5">
      <c r="A98" s="10" t="s">
        <v>433</v>
      </c>
      <c r="B98" s="11" t="str">
        <f>IFERROR(VLOOKUP(A98,Systems!A:B,2,FALSE),"Various")</f>
        <v>Ventilation system</v>
      </c>
      <c r="C98" s="11" t="s">
        <v>1684</v>
      </c>
      <c r="D98" s="11"/>
      <c r="E98" s="11"/>
      <c r="F98" s="24" t="s">
        <v>1412</v>
      </c>
      <c r="G98" s="38"/>
      <c r="H98" s="11" t="s">
        <v>1683</v>
      </c>
      <c r="I98" s="11"/>
      <c r="J98" s="11"/>
      <c r="K98" s="11"/>
      <c r="L98" s="11"/>
      <c r="M98" s="11"/>
      <c r="N98" s="11"/>
      <c r="O98" s="11"/>
      <c r="P98" s="11"/>
      <c r="Q98" s="11"/>
      <c r="R98" s="11"/>
      <c r="S98" s="24" t="s">
        <v>30</v>
      </c>
      <c r="T98" s="24" t="s">
        <v>30</v>
      </c>
      <c r="U98" s="24" t="str">
        <f t="shared" si="1"/>
        <v/>
      </c>
      <c r="V98" s="24"/>
    </row>
    <row r="99" spans="1:22" ht="114.75">
      <c r="A99" s="10" t="s">
        <v>433</v>
      </c>
      <c r="B99" s="11" t="str">
        <f>IFERROR(VLOOKUP(A99,Systems!A:B,2,FALSE),"Various")</f>
        <v>Ventilation system</v>
      </c>
      <c r="C99" s="11" t="s">
        <v>1686</v>
      </c>
      <c r="D99" s="11"/>
      <c r="E99" s="11"/>
      <c r="F99" s="24" t="s">
        <v>1412</v>
      </c>
      <c r="G99" s="38"/>
      <c r="H99" s="11" t="s">
        <v>1685</v>
      </c>
      <c r="I99" s="11"/>
      <c r="J99" s="11"/>
      <c r="K99" s="11"/>
      <c r="L99" s="11"/>
      <c r="M99" s="11"/>
      <c r="N99" s="11"/>
      <c r="O99" s="11"/>
      <c r="P99" s="11"/>
      <c r="Q99" s="11"/>
      <c r="R99" s="11"/>
      <c r="S99" s="24" t="s">
        <v>30</v>
      </c>
      <c r="T99" s="24" t="s">
        <v>30</v>
      </c>
      <c r="U99" s="24" t="str">
        <f t="shared" si="1"/>
        <v/>
      </c>
      <c r="V99" s="24"/>
    </row>
    <row r="100" spans="1:22" ht="76.5">
      <c r="A100" s="10" t="s">
        <v>433</v>
      </c>
      <c r="B100" s="11" t="str">
        <f>IFERROR(VLOOKUP(A100,Systems!A:B,2,FALSE),"Various")</f>
        <v>Ventilation system</v>
      </c>
      <c r="C100" s="11" t="s">
        <v>1689</v>
      </c>
      <c r="D100" s="11"/>
      <c r="E100" s="11"/>
      <c r="F100" s="24" t="s">
        <v>1412</v>
      </c>
      <c r="G100" s="38"/>
      <c r="H100" s="11" t="s">
        <v>1688</v>
      </c>
      <c r="I100" s="11"/>
      <c r="J100" s="11"/>
      <c r="K100" s="11"/>
      <c r="L100" s="11"/>
      <c r="M100" s="11"/>
      <c r="N100" s="11"/>
      <c r="O100" s="11"/>
      <c r="P100" s="11"/>
      <c r="Q100" s="11"/>
      <c r="R100" s="11"/>
      <c r="S100" s="24"/>
      <c r="T100" s="24"/>
      <c r="U100" s="24" t="str">
        <f t="shared" si="1"/>
        <v/>
      </c>
      <c r="V100" s="24"/>
    </row>
    <row r="101" spans="1:22" ht="63.75">
      <c r="A101" s="10" t="s">
        <v>568</v>
      </c>
      <c r="B101" s="11" t="str">
        <f>IFERROR(VLOOKUP(A101,Systems!A:B,2,FALSE),"Various")</f>
        <v>Cooling water system</v>
      </c>
      <c r="C101" s="11" t="s">
        <v>1175</v>
      </c>
      <c r="D101" s="11"/>
      <c r="E101" s="11"/>
      <c r="F101" s="24" t="s">
        <v>1412</v>
      </c>
      <c r="G101" s="38"/>
      <c r="H101" s="11" t="s">
        <v>1455</v>
      </c>
      <c r="I101" s="11"/>
      <c r="J101" s="11"/>
      <c r="K101" s="11"/>
      <c r="L101" s="11"/>
      <c r="M101" s="11"/>
      <c r="N101" s="11"/>
      <c r="O101" s="11"/>
      <c r="P101" s="11"/>
      <c r="Q101" s="11"/>
      <c r="R101" s="11"/>
      <c r="S101" s="24"/>
      <c r="T101" s="24"/>
      <c r="U101" s="24" t="str">
        <f t="shared" si="1"/>
        <v/>
      </c>
      <c r="V101" s="24"/>
    </row>
    <row r="102" spans="1:22" ht="191.25">
      <c r="A102" s="10" t="s">
        <v>1438</v>
      </c>
      <c r="B102" s="11" t="str">
        <f>IFERROR(VLOOKUP(A102,Systems!A:B,2,FALSE),"Various")</f>
        <v>Various</v>
      </c>
      <c r="C102" s="11" t="s">
        <v>1439</v>
      </c>
      <c r="D102" s="11"/>
      <c r="E102" s="11"/>
      <c r="F102" s="24" t="s">
        <v>1412</v>
      </c>
      <c r="G102" s="38"/>
      <c r="H102" s="11" t="s">
        <v>1456</v>
      </c>
      <c r="I102" s="11"/>
      <c r="J102" s="11"/>
      <c r="K102" s="11"/>
      <c r="L102" s="11"/>
      <c r="M102" s="11"/>
      <c r="N102" s="11"/>
      <c r="O102" s="11"/>
      <c r="P102" s="11"/>
      <c r="Q102" s="11"/>
      <c r="R102" s="11"/>
      <c r="S102" s="24"/>
      <c r="T102" s="24"/>
      <c r="U102" s="24" t="str">
        <f t="shared" si="1"/>
        <v/>
      </c>
      <c r="V102" s="24"/>
    </row>
    <row r="103" spans="1:22" ht="38.25">
      <c r="A103" s="10" t="s">
        <v>860</v>
      </c>
      <c r="B103" s="11" t="str">
        <f>IFERROR(VLOOKUP(A103,Systems!A:B,2,FALSE),"Various")</f>
        <v>Steering gear system</v>
      </c>
      <c r="C103" s="11" t="s">
        <v>1829</v>
      </c>
      <c r="D103" s="11"/>
      <c r="E103" s="11"/>
      <c r="F103" s="24" t="s">
        <v>1412</v>
      </c>
      <c r="G103" s="38"/>
      <c r="H103" s="11" t="s">
        <v>1830</v>
      </c>
      <c r="I103" s="11"/>
      <c r="J103" s="11"/>
      <c r="K103" s="11"/>
      <c r="L103" s="11"/>
      <c r="M103" s="11"/>
      <c r="N103" s="11"/>
      <c r="O103" s="11"/>
      <c r="P103" s="11"/>
      <c r="Q103" s="11"/>
      <c r="R103" s="11"/>
      <c r="S103" s="24"/>
      <c r="T103" s="24"/>
      <c r="U103" s="24" t="str">
        <f t="shared" si="1"/>
        <v/>
      </c>
      <c r="V103" s="24"/>
    </row>
    <row r="104" spans="1:22" ht="63.75">
      <c r="A104" s="10" t="s">
        <v>813</v>
      </c>
      <c r="B104" s="11" t="str">
        <f>IFERROR(VLOOKUP(A104,Systems!A:B,2,FALSE),"Various")</f>
        <v>Compressed air system</v>
      </c>
      <c r="C104" s="11" t="s">
        <v>931</v>
      </c>
      <c r="D104" s="11"/>
      <c r="E104" s="11"/>
      <c r="F104" s="24" t="s">
        <v>1412</v>
      </c>
      <c r="G104" s="38"/>
      <c r="H104" s="11" t="s">
        <v>932</v>
      </c>
      <c r="I104" s="11"/>
      <c r="J104" s="11"/>
      <c r="K104" s="11"/>
      <c r="L104" s="11"/>
      <c r="M104" s="11"/>
      <c r="N104" s="11"/>
      <c r="O104" s="11"/>
      <c r="P104" s="11"/>
      <c r="Q104" s="11"/>
      <c r="R104" s="11"/>
      <c r="S104" s="24" t="s">
        <v>1305</v>
      </c>
      <c r="T104" s="24"/>
      <c r="U104" s="24"/>
      <c r="V104" s="24"/>
    </row>
    <row r="105" spans="1:22" ht="293.25">
      <c r="A105" s="10" t="s">
        <v>187</v>
      </c>
      <c r="B105" s="11" t="str">
        <f>IFERROR(VLOOKUP(A105,Systems!A:B,2,FALSE),"Various")</f>
        <v>Piping common</v>
      </c>
      <c r="C105" s="11" t="s">
        <v>1211</v>
      </c>
      <c r="D105" s="11"/>
      <c r="E105" s="11"/>
      <c r="F105" s="24" t="s">
        <v>1412</v>
      </c>
      <c r="G105" s="38"/>
      <c r="H105" s="11" t="s">
        <v>2119</v>
      </c>
      <c r="I105" s="11"/>
      <c r="J105" s="11" t="s">
        <v>2122</v>
      </c>
      <c r="K105" s="11"/>
      <c r="L105" s="11"/>
      <c r="M105" s="11"/>
      <c r="N105" s="11"/>
      <c r="O105" s="11"/>
      <c r="P105" s="11"/>
      <c r="Q105" s="11"/>
      <c r="R105" s="11"/>
      <c r="S105" s="24"/>
      <c r="T105" s="24"/>
      <c r="U105" s="24"/>
      <c r="V105" s="24"/>
    </row>
    <row r="106" spans="1:22" ht="51">
      <c r="A106" s="10" t="s">
        <v>187</v>
      </c>
      <c r="B106" s="11" t="str">
        <f>IFERROR(VLOOKUP(A106,Systems!A:B,2,FALSE),"Various")</f>
        <v>Piping common</v>
      </c>
      <c r="C106" s="11" t="s">
        <v>2118</v>
      </c>
      <c r="D106" s="11"/>
      <c r="E106" s="11"/>
      <c r="F106" s="24" t="s">
        <v>1412</v>
      </c>
      <c r="G106" s="38"/>
      <c r="H106" s="11" t="s">
        <v>2120</v>
      </c>
      <c r="I106" s="11"/>
      <c r="J106" s="11" t="s">
        <v>2120</v>
      </c>
      <c r="K106" s="11"/>
      <c r="L106" s="11"/>
      <c r="M106" s="11"/>
      <c r="N106" s="11"/>
      <c r="O106" s="11"/>
      <c r="P106" s="11"/>
      <c r="Q106" s="11"/>
      <c r="R106" s="11"/>
      <c r="S106" s="24"/>
      <c r="T106" s="24"/>
      <c r="U106" s="24"/>
      <c r="V106" s="24"/>
    </row>
    <row r="107" spans="1:22" ht="63.75">
      <c r="A107" s="10" t="s">
        <v>187</v>
      </c>
      <c r="B107" s="11" t="str">
        <f>IFERROR(VLOOKUP(A107,Systems!A:B,2,FALSE),"Various")</f>
        <v>Piping common</v>
      </c>
      <c r="C107" s="11" t="s">
        <v>2118</v>
      </c>
      <c r="D107" s="11"/>
      <c r="E107" s="11"/>
      <c r="F107" s="24" t="s">
        <v>1412</v>
      </c>
      <c r="G107" s="38"/>
      <c r="H107" s="11" t="s">
        <v>2121</v>
      </c>
      <c r="I107" s="11"/>
      <c r="J107" s="11" t="s">
        <v>2123</v>
      </c>
      <c r="K107" s="11"/>
      <c r="L107" s="11"/>
      <c r="M107" s="11"/>
      <c r="N107" s="11"/>
      <c r="O107" s="11"/>
      <c r="P107" s="11"/>
      <c r="Q107" s="11"/>
      <c r="R107" s="11"/>
      <c r="S107" s="24"/>
      <c r="T107" s="24"/>
      <c r="U107" s="24"/>
      <c r="V107" s="24"/>
    </row>
    <row r="108" spans="1:22" ht="114.75">
      <c r="A108" s="10" t="s">
        <v>1109</v>
      </c>
      <c r="B108" s="11" t="str">
        <f>IFERROR(VLOOKUP(A108,Systems!A:B,2,FALSE),"Various")</f>
        <v>Fuel-oil systems</v>
      </c>
      <c r="C108" s="11" t="s">
        <v>1108</v>
      </c>
      <c r="D108" s="11"/>
      <c r="E108" s="11"/>
      <c r="F108" s="24" t="s">
        <v>1412</v>
      </c>
      <c r="G108" s="38"/>
      <c r="H108" s="11" t="s">
        <v>1478</v>
      </c>
      <c r="I108" s="11"/>
      <c r="J108" s="11"/>
      <c r="K108" s="11"/>
      <c r="L108" s="11"/>
      <c r="M108" s="11"/>
      <c r="N108" s="11"/>
      <c r="O108" s="11"/>
      <c r="P108" s="11"/>
      <c r="Q108" s="11"/>
      <c r="R108" s="11"/>
      <c r="S108" s="24" t="s">
        <v>30</v>
      </c>
      <c r="T108" s="24"/>
      <c r="U108" s="24" t="str">
        <f>IF(OR(NOT(H108=""),NOT(M108="")),"","x")</f>
        <v/>
      </c>
      <c r="V108" s="24"/>
    </row>
    <row r="109" spans="1:22" ht="178.5">
      <c r="A109" s="10" t="s">
        <v>1174</v>
      </c>
      <c r="B109" s="11" t="str">
        <f>IFERROR(VLOOKUP(A109,Systems!A:B,2,FALSE),"Various")</f>
        <v>Various</v>
      </c>
      <c r="C109" s="11" t="s">
        <v>1175</v>
      </c>
      <c r="D109" s="11"/>
      <c r="E109" s="11"/>
      <c r="F109" s="24" t="s">
        <v>1412</v>
      </c>
      <c r="G109" s="38"/>
      <c r="H109" s="11" t="s">
        <v>1720</v>
      </c>
      <c r="I109" s="11"/>
      <c r="J109" s="11"/>
      <c r="K109" s="11"/>
      <c r="L109" s="11"/>
      <c r="M109" s="11"/>
      <c r="N109" s="11"/>
      <c r="O109" s="11"/>
      <c r="P109" s="11"/>
      <c r="Q109" s="11"/>
      <c r="R109" s="11"/>
      <c r="S109" s="24" t="s">
        <v>30</v>
      </c>
      <c r="T109" s="24" t="s">
        <v>30</v>
      </c>
      <c r="U109" s="24" t="str">
        <f>IF(OR(NOT(H109=""),NOT(M109="")),"","x")</f>
        <v/>
      </c>
      <c r="V109" s="24"/>
    </row>
    <row r="110" spans="1:22" ht="38.25">
      <c r="A110" s="10" t="s">
        <v>1177</v>
      </c>
      <c r="B110" s="11" t="str">
        <f>IFERROR(VLOOKUP(A110,Systems!A:B,2,FALSE),"Various")</f>
        <v>Various</v>
      </c>
      <c r="C110" s="11" t="s">
        <v>1176</v>
      </c>
      <c r="D110" s="11"/>
      <c r="E110" s="11"/>
      <c r="F110" s="24" t="s">
        <v>1412</v>
      </c>
      <c r="G110" s="38"/>
      <c r="H110" s="11" t="s">
        <v>1528</v>
      </c>
      <c r="I110" s="11"/>
      <c r="J110" s="11"/>
      <c r="K110" s="11"/>
      <c r="L110" s="11"/>
      <c r="M110" s="11"/>
      <c r="N110" s="11"/>
      <c r="O110" s="11"/>
      <c r="P110" s="11"/>
      <c r="Q110" s="11"/>
      <c r="R110" s="11"/>
      <c r="S110" s="24" t="s">
        <v>30</v>
      </c>
      <c r="T110" s="24"/>
      <c r="U110" s="24" t="str">
        <f>IF(OR(NOT(H110=""),NOT(M110="")),"","x")</f>
        <v/>
      </c>
      <c r="V110" s="24"/>
    </row>
    <row r="111" spans="1:22" ht="25.5">
      <c r="A111" s="10" t="s">
        <v>832</v>
      </c>
      <c r="B111" s="11" t="str">
        <f>IFERROR(VLOOKUP(A111,Systems!A:B,2,FALSE),"Various")</f>
        <v>Fuel transfer system</v>
      </c>
      <c r="C111" s="11" t="s">
        <v>1178</v>
      </c>
      <c r="D111" s="11"/>
      <c r="E111" s="11"/>
      <c r="F111" s="24" t="s">
        <v>1412</v>
      </c>
      <c r="G111" s="38"/>
      <c r="H111" s="11" t="s">
        <v>1479</v>
      </c>
      <c r="I111" s="11"/>
      <c r="J111" s="11"/>
      <c r="K111" s="11"/>
      <c r="L111" s="11"/>
      <c r="M111" s="11"/>
      <c r="N111" s="11"/>
      <c r="O111" s="11"/>
      <c r="P111" s="11"/>
      <c r="Q111" s="11"/>
      <c r="R111" s="11"/>
      <c r="S111" s="24" t="s">
        <v>30</v>
      </c>
      <c r="T111" s="24"/>
      <c r="U111" s="24"/>
      <c r="V111" s="24"/>
    </row>
    <row r="112" spans="1:22" ht="102">
      <c r="A112" s="10" t="s">
        <v>833</v>
      </c>
      <c r="B112" s="11" t="str">
        <f>IFERROR(VLOOKUP(A112,Systems!A:B,2,FALSE),"Various")</f>
        <v>Fuel supply system</v>
      </c>
      <c r="C112" s="11" t="s">
        <v>1179</v>
      </c>
      <c r="D112" s="11"/>
      <c r="E112" s="11"/>
      <c r="F112" s="24" t="s">
        <v>1412</v>
      </c>
      <c r="G112" s="38"/>
      <c r="H112" s="11" t="s">
        <v>1529</v>
      </c>
      <c r="I112" s="11"/>
      <c r="J112" s="11"/>
      <c r="K112" s="11"/>
      <c r="L112" s="11"/>
      <c r="M112" s="11"/>
      <c r="N112" s="11"/>
      <c r="O112" s="11"/>
      <c r="P112" s="11"/>
      <c r="Q112" s="11"/>
      <c r="R112" s="11"/>
      <c r="S112" s="24"/>
      <c r="T112" s="24"/>
      <c r="U112" s="24"/>
      <c r="V112" s="24"/>
    </row>
    <row r="113" spans="1:22" ht="63.75">
      <c r="A113" s="10" t="s">
        <v>833</v>
      </c>
      <c r="B113" s="11" t="str">
        <f>IFERROR(VLOOKUP(A113,Systems!A:B,2,FALSE),"Various")</f>
        <v>Fuel supply system</v>
      </c>
      <c r="C113" s="11" t="s">
        <v>1441</v>
      </c>
      <c r="D113" s="11"/>
      <c r="E113" s="11"/>
      <c r="F113" s="24" t="s">
        <v>1412</v>
      </c>
      <c r="G113" s="38"/>
      <c r="H113" s="11" t="s">
        <v>1530</v>
      </c>
      <c r="I113" s="11"/>
      <c r="J113" s="11"/>
      <c r="K113" s="11"/>
      <c r="L113" s="11"/>
      <c r="M113" s="11"/>
      <c r="N113" s="11"/>
      <c r="O113" s="11"/>
      <c r="P113" s="11"/>
      <c r="Q113" s="11"/>
      <c r="R113" s="11"/>
      <c r="S113" s="24" t="s">
        <v>30</v>
      </c>
      <c r="T113" s="24"/>
      <c r="U113" s="24"/>
      <c r="V113" s="24"/>
    </row>
    <row r="114" spans="1:22" ht="51">
      <c r="A114" s="10" t="s">
        <v>832</v>
      </c>
      <c r="B114" s="11" t="str">
        <f>IFERROR(VLOOKUP(A114,Systems!A:B,2,FALSE),"Various")</f>
        <v>Fuel transfer system</v>
      </c>
      <c r="C114" s="11" t="s">
        <v>1180</v>
      </c>
      <c r="D114" s="11"/>
      <c r="E114" s="11"/>
      <c r="F114" s="24" t="s">
        <v>1412</v>
      </c>
      <c r="G114" s="38"/>
      <c r="H114" s="11" t="s">
        <v>1480</v>
      </c>
      <c r="I114" s="11"/>
      <c r="J114" s="11"/>
      <c r="K114" s="11"/>
      <c r="L114" s="11"/>
      <c r="M114" s="11"/>
      <c r="N114" s="11"/>
      <c r="O114" s="11"/>
      <c r="P114" s="11"/>
      <c r="Q114" s="11"/>
      <c r="R114" s="11"/>
      <c r="S114" s="24" t="s">
        <v>30</v>
      </c>
      <c r="T114" s="24" t="s">
        <v>30</v>
      </c>
      <c r="U114" s="24" t="str">
        <f>IF(OR(NOT(H114=""),NOT(M114="")),"","x")</f>
        <v/>
      </c>
      <c r="V114" s="24"/>
    </row>
    <row r="115" spans="1:22" ht="25.5">
      <c r="A115" s="10" t="s">
        <v>1109</v>
      </c>
      <c r="B115" s="11" t="str">
        <f>IFERROR(VLOOKUP(A115,Systems!A:B,2,FALSE),"Various")</f>
        <v>Fuel-oil systems</v>
      </c>
      <c r="C115" s="11" t="s">
        <v>1181</v>
      </c>
      <c r="D115" s="11"/>
      <c r="E115" s="11"/>
      <c r="F115" s="24" t="s">
        <v>1412</v>
      </c>
      <c r="G115" s="38"/>
      <c r="H115" s="11" t="s">
        <v>1481</v>
      </c>
      <c r="I115" s="11"/>
      <c r="J115" s="11"/>
      <c r="K115" s="11"/>
      <c r="L115" s="11"/>
      <c r="M115" s="11"/>
      <c r="N115" s="11"/>
      <c r="O115" s="11"/>
      <c r="P115" s="11"/>
      <c r="Q115" s="11"/>
      <c r="R115" s="11"/>
      <c r="S115" s="24"/>
      <c r="T115" s="24"/>
      <c r="U115" s="24"/>
      <c r="V115" s="24"/>
    </row>
    <row r="116" spans="1:22" ht="140.25">
      <c r="A116" s="10" t="s">
        <v>1109</v>
      </c>
      <c r="B116" s="11" t="str">
        <f>IFERROR(VLOOKUP(A116,Systems!A:B,2,FALSE),"Various")</f>
        <v>Fuel-oil systems</v>
      </c>
      <c r="C116" s="11" t="s">
        <v>473</v>
      </c>
      <c r="D116" s="11"/>
      <c r="E116" s="11"/>
      <c r="F116" s="24" t="s">
        <v>1412</v>
      </c>
      <c r="G116" s="38"/>
      <c r="H116" s="11" t="s">
        <v>1482</v>
      </c>
      <c r="I116" s="11"/>
      <c r="J116" s="11" t="s">
        <v>2083</v>
      </c>
      <c r="K116" s="11"/>
      <c r="L116" s="11"/>
      <c r="M116" s="11"/>
      <c r="N116" s="11"/>
      <c r="O116" s="11"/>
      <c r="P116" s="11"/>
      <c r="Q116" s="11"/>
      <c r="R116" s="11"/>
      <c r="S116" s="24"/>
      <c r="T116" s="24"/>
      <c r="U116" s="24"/>
      <c r="V116" s="24"/>
    </row>
    <row r="117" spans="1:22" ht="38.25">
      <c r="A117" s="10" t="s">
        <v>1109</v>
      </c>
      <c r="B117" s="11" t="str">
        <f>IFERROR(VLOOKUP(A117,Systems!A:B,2,FALSE),"Various")</f>
        <v>Fuel-oil systems</v>
      </c>
      <c r="C117" s="11" t="s">
        <v>1182</v>
      </c>
      <c r="D117" s="11"/>
      <c r="E117" s="11"/>
      <c r="F117" s="24" t="s">
        <v>1412</v>
      </c>
      <c r="G117" s="38"/>
      <c r="H117" s="11" t="s">
        <v>1483</v>
      </c>
      <c r="I117" s="11"/>
      <c r="J117" s="11"/>
      <c r="K117" s="11"/>
      <c r="L117" s="11"/>
      <c r="M117" s="11"/>
      <c r="N117" s="11"/>
      <c r="O117" s="11"/>
      <c r="P117" s="11"/>
      <c r="Q117" s="11"/>
      <c r="R117" s="11"/>
      <c r="S117" s="24"/>
      <c r="T117" s="24"/>
      <c r="U117" s="24"/>
      <c r="V117" s="24"/>
    </row>
    <row r="118" spans="1:22" ht="89.25">
      <c r="A118" s="10" t="s">
        <v>1109</v>
      </c>
      <c r="B118" s="11" t="str">
        <f>IFERROR(VLOOKUP(A118,Systems!A:B,2,FALSE),"Various")</f>
        <v>Fuel-oil systems</v>
      </c>
      <c r="C118" s="11" t="s">
        <v>59</v>
      </c>
      <c r="D118" s="11"/>
      <c r="E118" s="11"/>
      <c r="F118" s="24" t="s">
        <v>1412</v>
      </c>
      <c r="G118" s="38"/>
      <c r="H118" s="11" t="s">
        <v>1484</v>
      </c>
      <c r="I118" s="11"/>
      <c r="J118" s="11"/>
      <c r="K118" s="11"/>
      <c r="L118" s="11"/>
      <c r="M118" s="11"/>
      <c r="N118" s="11"/>
      <c r="O118" s="11"/>
      <c r="P118" s="11"/>
      <c r="Q118" s="11"/>
      <c r="R118" s="11"/>
      <c r="S118" s="24"/>
      <c r="T118" s="24"/>
      <c r="U118" s="24"/>
      <c r="V118" s="24"/>
    </row>
    <row r="119" spans="1:22" ht="89.25">
      <c r="A119" s="10" t="s">
        <v>1109</v>
      </c>
      <c r="B119" s="11" t="str">
        <f>IFERROR(VLOOKUP(A119,Systems!A:B,2,FALSE),"Various")</f>
        <v>Fuel-oil systems</v>
      </c>
      <c r="C119" s="11" t="s">
        <v>1183</v>
      </c>
      <c r="D119" s="11"/>
      <c r="E119" s="11"/>
      <c r="F119" s="24" t="s">
        <v>1412</v>
      </c>
      <c r="G119" s="38"/>
      <c r="H119" s="11" t="s">
        <v>1485</v>
      </c>
      <c r="I119" s="11"/>
      <c r="J119" s="11"/>
      <c r="K119" s="11"/>
      <c r="L119" s="11"/>
      <c r="M119" s="11"/>
      <c r="N119" s="11"/>
      <c r="O119" s="11"/>
      <c r="P119" s="11"/>
      <c r="Q119" s="11"/>
      <c r="R119" s="11"/>
      <c r="S119" s="24"/>
      <c r="T119" s="24"/>
      <c r="U119" s="24"/>
      <c r="V119" s="24"/>
    </row>
    <row r="120" spans="1:22" ht="38.25">
      <c r="A120" s="10" t="s">
        <v>1109</v>
      </c>
      <c r="B120" s="11" t="str">
        <f>IFERROR(VLOOKUP(A120,Systems!A:B,2,FALSE),"Various")</f>
        <v>Fuel-oil systems</v>
      </c>
      <c r="C120" s="11" t="s">
        <v>1184</v>
      </c>
      <c r="D120" s="11"/>
      <c r="E120" s="11"/>
      <c r="F120" s="24" t="s">
        <v>1412</v>
      </c>
      <c r="G120" s="38"/>
      <c r="H120" s="11" t="s">
        <v>1486</v>
      </c>
      <c r="I120" s="11"/>
      <c r="J120" s="11"/>
      <c r="K120" s="11"/>
      <c r="L120" s="11"/>
      <c r="M120" s="11"/>
      <c r="N120" s="11"/>
      <c r="O120" s="11"/>
      <c r="P120" s="11"/>
      <c r="Q120" s="11"/>
      <c r="R120" s="11"/>
      <c r="S120" s="24" t="s">
        <v>30</v>
      </c>
      <c r="T120" s="24" t="s">
        <v>30</v>
      </c>
      <c r="U120" s="24" t="str">
        <f t="shared" ref="U120:U145" si="2">IF(OR(NOT(H120=""),NOT(M120="")),"","x")</f>
        <v/>
      </c>
      <c r="V120" s="24"/>
    </row>
    <row r="121" spans="1:22" ht="25.5">
      <c r="A121" s="10" t="s">
        <v>833</v>
      </c>
      <c r="B121" s="11" t="str">
        <f>IFERROR(VLOOKUP(A121,Systems!A:B,2,FALSE),"Various")</f>
        <v>Fuel supply system</v>
      </c>
      <c r="C121" s="11" t="s">
        <v>1185</v>
      </c>
      <c r="D121" s="11"/>
      <c r="E121" s="11"/>
      <c r="F121" s="24" t="s">
        <v>1412</v>
      </c>
      <c r="G121" s="38"/>
      <c r="H121" s="11" t="s">
        <v>1186</v>
      </c>
      <c r="I121" s="11"/>
      <c r="J121" s="11"/>
      <c r="K121" s="11"/>
      <c r="L121" s="11"/>
      <c r="M121" s="11"/>
      <c r="N121" s="11"/>
      <c r="O121" s="11"/>
      <c r="P121" s="11"/>
      <c r="Q121" s="11"/>
      <c r="R121" s="11"/>
      <c r="S121" s="24" t="s">
        <v>30</v>
      </c>
      <c r="T121" s="24" t="s">
        <v>30</v>
      </c>
      <c r="U121" s="24" t="str">
        <f t="shared" si="2"/>
        <v/>
      </c>
      <c r="V121" s="24"/>
    </row>
    <row r="122" spans="1:22" ht="140.25">
      <c r="A122" s="10" t="s">
        <v>832</v>
      </c>
      <c r="B122" s="11" t="str">
        <f>IFERROR(VLOOKUP(A122,Systems!A:B,2,FALSE),"Various")</f>
        <v>Fuel transfer system</v>
      </c>
      <c r="C122" s="11" t="s">
        <v>49</v>
      </c>
      <c r="D122" s="11"/>
      <c r="E122" s="11"/>
      <c r="F122" s="24" t="s">
        <v>1412</v>
      </c>
      <c r="G122" s="38"/>
      <c r="H122" s="11" t="s">
        <v>1487</v>
      </c>
      <c r="I122" s="11"/>
      <c r="J122" s="11"/>
      <c r="K122" s="11"/>
      <c r="L122" s="11"/>
      <c r="M122" s="11"/>
      <c r="N122" s="11"/>
      <c r="O122" s="11"/>
      <c r="P122" s="11"/>
      <c r="Q122" s="11"/>
      <c r="R122" s="11"/>
      <c r="S122" s="24" t="s">
        <v>30</v>
      </c>
      <c r="T122" s="24" t="s">
        <v>30</v>
      </c>
      <c r="U122" s="24" t="str">
        <f t="shared" si="2"/>
        <v/>
      </c>
      <c r="V122" s="24"/>
    </row>
    <row r="123" spans="1:22" ht="165.75">
      <c r="A123" s="10" t="s">
        <v>1109</v>
      </c>
      <c r="B123" s="11" t="str">
        <f>IFERROR(VLOOKUP(A123,Systems!A:B,2,FALSE),"Various")</f>
        <v>Fuel-oil systems</v>
      </c>
      <c r="C123" s="11" t="s">
        <v>1110</v>
      </c>
      <c r="D123" s="11"/>
      <c r="E123" s="11"/>
      <c r="F123" s="24" t="s">
        <v>1412</v>
      </c>
      <c r="G123" s="38"/>
      <c r="H123" s="11" t="s">
        <v>1488</v>
      </c>
      <c r="I123" s="11"/>
      <c r="J123" s="11"/>
      <c r="K123" s="11"/>
      <c r="L123" s="11"/>
      <c r="M123" s="11"/>
      <c r="N123" s="11"/>
      <c r="O123" s="11"/>
      <c r="P123" s="11"/>
      <c r="Q123" s="11"/>
      <c r="R123" s="11"/>
      <c r="S123" s="24" t="s">
        <v>30</v>
      </c>
      <c r="T123" s="24" t="s">
        <v>30</v>
      </c>
      <c r="U123" s="24" t="str">
        <f t="shared" si="2"/>
        <v/>
      </c>
      <c r="V123" s="24"/>
    </row>
    <row r="124" spans="1:22" ht="76.5">
      <c r="A124" s="10" t="s">
        <v>1109</v>
      </c>
      <c r="B124" s="11" t="str">
        <f>IFERROR(VLOOKUP(A124,Systems!A:B,2,FALSE),"Various")</f>
        <v>Fuel-oil systems</v>
      </c>
      <c r="C124" s="11" t="s">
        <v>1111</v>
      </c>
      <c r="D124" s="11"/>
      <c r="E124" s="11"/>
      <c r="F124" s="24" t="s">
        <v>1412</v>
      </c>
      <c r="G124" s="38"/>
      <c r="H124" s="11" t="s">
        <v>1489</v>
      </c>
      <c r="I124" s="11"/>
      <c r="J124" s="11"/>
      <c r="K124" s="11"/>
      <c r="L124" s="11"/>
      <c r="M124" s="11"/>
      <c r="N124" s="11"/>
      <c r="O124" s="11"/>
      <c r="P124" s="11"/>
      <c r="Q124" s="11"/>
      <c r="R124" s="11"/>
      <c r="S124" s="24" t="s">
        <v>30</v>
      </c>
      <c r="T124" s="24" t="s">
        <v>30</v>
      </c>
      <c r="U124" s="24" t="str">
        <f t="shared" si="2"/>
        <v/>
      </c>
      <c r="V124" s="24"/>
    </row>
    <row r="125" spans="1:22" ht="51">
      <c r="A125" s="10" t="s">
        <v>1109</v>
      </c>
      <c r="B125" s="11" t="str">
        <f>IFERROR(VLOOKUP(A125,Systems!A:B,2,FALSE),"Various")</f>
        <v>Fuel-oil systems</v>
      </c>
      <c r="C125" s="11" t="s">
        <v>1113</v>
      </c>
      <c r="D125" s="11"/>
      <c r="E125" s="11"/>
      <c r="F125" s="24" t="s">
        <v>1412</v>
      </c>
      <c r="G125" s="38"/>
      <c r="H125" s="11" t="s">
        <v>1490</v>
      </c>
      <c r="I125" s="11"/>
      <c r="J125" s="11"/>
      <c r="K125" s="11"/>
      <c r="L125" s="11"/>
      <c r="M125" s="11"/>
      <c r="N125" s="11"/>
      <c r="O125" s="11"/>
      <c r="P125" s="11"/>
      <c r="Q125" s="11"/>
      <c r="R125" s="11"/>
      <c r="S125" s="24" t="s">
        <v>30</v>
      </c>
      <c r="T125" s="24" t="s">
        <v>30</v>
      </c>
      <c r="U125" s="24" t="str">
        <f t="shared" si="2"/>
        <v/>
      </c>
      <c r="V125" s="24"/>
    </row>
    <row r="126" spans="1:22" ht="63.75">
      <c r="A126" s="10" t="s">
        <v>832</v>
      </c>
      <c r="B126" s="11" t="str">
        <f>IFERROR(VLOOKUP(A126,Systems!A:B,2,FALSE),"Various")</f>
        <v>Fuel transfer system</v>
      </c>
      <c r="C126" s="11" t="s">
        <v>1947</v>
      </c>
      <c r="D126" s="11"/>
      <c r="E126" s="11"/>
      <c r="F126" s="24" t="s">
        <v>1412</v>
      </c>
      <c r="G126" s="38"/>
      <c r="H126" s="11" t="s">
        <v>1948</v>
      </c>
      <c r="I126" s="11"/>
      <c r="J126" s="11"/>
      <c r="K126" s="11"/>
      <c r="L126" s="11"/>
      <c r="M126" s="11"/>
      <c r="N126" s="11"/>
      <c r="O126" s="11"/>
      <c r="P126" s="11"/>
      <c r="Q126" s="11"/>
      <c r="R126" s="11"/>
      <c r="S126" s="24" t="s">
        <v>30</v>
      </c>
      <c r="T126" s="24" t="s">
        <v>30</v>
      </c>
      <c r="U126" s="24" t="str">
        <f t="shared" si="2"/>
        <v/>
      </c>
      <c r="V126" s="24"/>
    </row>
    <row r="127" spans="1:22" ht="76.5">
      <c r="A127" s="10" t="s">
        <v>832</v>
      </c>
      <c r="B127" s="11" t="str">
        <f>IFERROR(VLOOKUP(A127,Systems!A:B,2,FALSE),"Various")</f>
        <v>Fuel transfer system</v>
      </c>
      <c r="C127" s="11" t="s">
        <v>1114</v>
      </c>
      <c r="D127" s="11"/>
      <c r="E127" s="11"/>
      <c r="F127" s="24" t="s">
        <v>1412</v>
      </c>
      <c r="G127" s="38"/>
      <c r="H127" s="11" t="s">
        <v>1491</v>
      </c>
      <c r="I127" s="11"/>
      <c r="J127" s="11"/>
      <c r="K127" s="11"/>
      <c r="L127" s="11"/>
      <c r="M127" s="11"/>
      <c r="N127" s="11"/>
      <c r="O127" s="11"/>
      <c r="P127" s="11"/>
      <c r="Q127" s="11"/>
      <c r="R127" s="11"/>
      <c r="S127" s="24" t="s">
        <v>30</v>
      </c>
      <c r="T127" s="24" t="s">
        <v>30</v>
      </c>
      <c r="U127" s="24" t="str">
        <f t="shared" si="2"/>
        <v/>
      </c>
      <c r="V127" s="24"/>
    </row>
    <row r="128" spans="1:22" ht="191.25">
      <c r="A128" s="10" t="s">
        <v>832</v>
      </c>
      <c r="B128" s="11" t="str">
        <f>IFERROR(VLOOKUP(A128,Systems!A:B,2,FALSE),"Various")</f>
        <v>Fuel transfer system</v>
      </c>
      <c r="C128" s="11" t="s">
        <v>1947</v>
      </c>
      <c r="D128" s="11"/>
      <c r="E128" s="11"/>
      <c r="F128" s="24" t="s">
        <v>1412</v>
      </c>
      <c r="G128" s="38"/>
      <c r="H128" s="11" t="s">
        <v>1949</v>
      </c>
      <c r="I128" s="11"/>
      <c r="J128" s="11"/>
      <c r="K128" s="11"/>
      <c r="L128" s="11"/>
      <c r="M128" s="11"/>
      <c r="N128" s="11"/>
      <c r="O128" s="11"/>
      <c r="P128" s="11"/>
      <c r="Q128" s="11"/>
      <c r="R128" s="11"/>
      <c r="S128" s="24" t="s">
        <v>30</v>
      </c>
      <c r="T128" s="24" t="s">
        <v>30</v>
      </c>
      <c r="U128" s="24" t="str">
        <f t="shared" si="2"/>
        <v/>
      </c>
      <c r="V128" s="24"/>
    </row>
    <row r="129" spans="1:22" ht="204">
      <c r="A129" s="10" t="s">
        <v>832</v>
      </c>
      <c r="B129" s="11" t="str">
        <f>IFERROR(VLOOKUP(A129,Systems!A:B,2,FALSE),"Various")</f>
        <v>Fuel transfer system</v>
      </c>
      <c r="C129" s="11" t="s">
        <v>1115</v>
      </c>
      <c r="D129" s="11"/>
      <c r="E129" s="11"/>
      <c r="F129" s="24" t="s">
        <v>1412</v>
      </c>
      <c r="G129" s="38"/>
      <c r="H129" s="11" t="s">
        <v>1492</v>
      </c>
      <c r="I129" s="11"/>
      <c r="J129" s="11"/>
      <c r="K129" s="11"/>
      <c r="L129" s="11"/>
      <c r="M129" s="11"/>
      <c r="N129" s="11"/>
      <c r="O129" s="11"/>
      <c r="P129" s="11"/>
      <c r="Q129" s="11"/>
      <c r="R129" s="11"/>
      <c r="S129" s="24" t="s">
        <v>30</v>
      </c>
      <c r="T129" s="24" t="s">
        <v>30</v>
      </c>
      <c r="U129" s="24" t="str">
        <f t="shared" si="2"/>
        <v/>
      </c>
      <c r="V129" s="24"/>
    </row>
    <row r="130" spans="1:22" ht="51">
      <c r="A130" s="10" t="s">
        <v>832</v>
      </c>
      <c r="B130" s="11" t="str">
        <f>IFERROR(VLOOKUP(A130,Systems!A:B,2,FALSE),"Various")</f>
        <v>Fuel transfer system</v>
      </c>
      <c r="C130" s="11" t="s">
        <v>1116</v>
      </c>
      <c r="D130" s="11"/>
      <c r="E130" s="11"/>
      <c r="F130" s="24" t="s">
        <v>1412</v>
      </c>
      <c r="G130" s="38"/>
      <c r="H130" s="11" t="s">
        <v>1493</v>
      </c>
      <c r="I130" s="11"/>
      <c r="J130" s="11"/>
      <c r="K130" s="11"/>
      <c r="L130" s="11"/>
      <c r="M130" s="11"/>
      <c r="N130" s="11"/>
      <c r="O130" s="11"/>
      <c r="P130" s="11"/>
      <c r="Q130" s="11"/>
      <c r="R130" s="11"/>
      <c r="S130" s="24" t="s">
        <v>30</v>
      </c>
      <c r="T130" s="24" t="s">
        <v>30</v>
      </c>
      <c r="U130" s="24" t="str">
        <f t="shared" si="2"/>
        <v/>
      </c>
      <c r="V130" s="24"/>
    </row>
    <row r="131" spans="1:22" ht="51">
      <c r="A131" s="10" t="s">
        <v>832</v>
      </c>
      <c r="B131" s="11" t="str">
        <f>IFERROR(VLOOKUP(A131,Systems!A:B,2,FALSE),"Various")</f>
        <v>Fuel transfer system</v>
      </c>
      <c r="C131" s="11" t="s">
        <v>1947</v>
      </c>
      <c r="D131" s="11"/>
      <c r="E131" s="11"/>
      <c r="F131" s="24" t="s">
        <v>1412</v>
      </c>
      <c r="G131" s="38"/>
      <c r="H131" s="11" t="s">
        <v>1950</v>
      </c>
      <c r="I131" s="11"/>
      <c r="J131" s="11"/>
      <c r="K131" s="11"/>
      <c r="L131" s="11"/>
      <c r="M131" s="11"/>
      <c r="N131" s="11"/>
      <c r="O131" s="11"/>
      <c r="P131" s="11"/>
      <c r="Q131" s="11"/>
      <c r="R131" s="11"/>
      <c r="S131" s="24" t="s">
        <v>30</v>
      </c>
      <c r="T131" s="24" t="s">
        <v>30</v>
      </c>
      <c r="U131" s="24" t="str">
        <f t="shared" si="2"/>
        <v/>
      </c>
      <c r="V131" s="24"/>
    </row>
    <row r="132" spans="1:22" ht="63.75">
      <c r="A132" s="10" t="s">
        <v>832</v>
      </c>
      <c r="B132" s="11" t="str">
        <f>IFERROR(VLOOKUP(A132,Systems!A:B,2,FALSE),"Various")</f>
        <v>Fuel transfer system</v>
      </c>
      <c r="C132" s="11" t="s">
        <v>1947</v>
      </c>
      <c r="D132" s="11"/>
      <c r="E132" s="11"/>
      <c r="F132" s="24" t="s">
        <v>1412</v>
      </c>
      <c r="G132" s="38"/>
      <c r="H132" s="11" t="s">
        <v>1951</v>
      </c>
      <c r="I132" s="11"/>
      <c r="J132" s="11"/>
      <c r="K132" s="11"/>
      <c r="L132" s="11"/>
      <c r="M132" s="11"/>
      <c r="N132" s="11"/>
      <c r="O132" s="11"/>
      <c r="P132" s="11"/>
      <c r="Q132" s="11"/>
      <c r="R132" s="11"/>
      <c r="S132" s="24" t="s">
        <v>30</v>
      </c>
      <c r="T132" s="24" t="s">
        <v>30</v>
      </c>
      <c r="U132" s="24" t="str">
        <f t="shared" si="2"/>
        <v/>
      </c>
      <c r="V132" s="24"/>
    </row>
    <row r="133" spans="1:22" ht="76.5">
      <c r="A133" s="10" t="s">
        <v>832</v>
      </c>
      <c r="B133" s="11" t="str">
        <f>IFERROR(VLOOKUP(A133,Systems!A:B,2,FALSE),"Various")</f>
        <v>Fuel transfer system</v>
      </c>
      <c r="C133" s="11" t="s">
        <v>1117</v>
      </c>
      <c r="D133" s="11"/>
      <c r="E133" s="11"/>
      <c r="F133" s="24" t="s">
        <v>1412</v>
      </c>
      <c r="G133" s="38"/>
      <c r="H133" s="11" t="s">
        <v>1496</v>
      </c>
      <c r="I133" s="11"/>
      <c r="J133" s="11"/>
      <c r="K133" s="11"/>
      <c r="L133" s="11"/>
      <c r="M133" s="11"/>
      <c r="N133" s="11"/>
      <c r="O133" s="11"/>
      <c r="P133" s="11"/>
      <c r="Q133" s="11"/>
      <c r="R133" s="11"/>
      <c r="S133" s="24" t="s">
        <v>30</v>
      </c>
      <c r="T133" s="24" t="s">
        <v>30</v>
      </c>
      <c r="U133" s="24" t="str">
        <f t="shared" si="2"/>
        <v/>
      </c>
      <c r="V133" s="24"/>
    </row>
    <row r="134" spans="1:22" ht="127.5">
      <c r="A134" s="10" t="s">
        <v>832</v>
      </c>
      <c r="B134" s="11" t="str">
        <f>IFERROR(VLOOKUP(A134,Systems!A:B,2,FALSE),"Various")</f>
        <v>Fuel transfer system</v>
      </c>
      <c r="C134" s="11" t="s">
        <v>1953</v>
      </c>
      <c r="D134" s="11"/>
      <c r="E134" s="11"/>
      <c r="F134" s="24" t="s">
        <v>1412</v>
      </c>
      <c r="G134" s="38"/>
      <c r="H134" s="11" t="s">
        <v>1952</v>
      </c>
      <c r="I134" s="11"/>
      <c r="J134" s="11"/>
      <c r="K134" s="11"/>
      <c r="L134" s="11"/>
      <c r="M134" s="11"/>
      <c r="N134" s="11"/>
      <c r="O134" s="11"/>
      <c r="P134" s="11"/>
      <c r="Q134" s="11"/>
      <c r="R134" s="11"/>
      <c r="S134" s="24" t="s">
        <v>30</v>
      </c>
      <c r="T134" s="24" t="s">
        <v>30</v>
      </c>
      <c r="U134" s="24" t="str">
        <f t="shared" si="2"/>
        <v/>
      </c>
      <c r="V134" s="24"/>
    </row>
    <row r="135" spans="1:22" ht="140.25">
      <c r="A135" s="10" t="s">
        <v>832</v>
      </c>
      <c r="B135" s="11" t="str">
        <f>IFERROR(VLOOKUP(A135,Systems!A:B,2,FALSE),"Various")</f>
        <v>Fuel transfer system</v>
      </c>
      <c r="C135" s="11" t="s">
        <v>1118</v>
      </c>
      <c r="D135" s="11"/>
      <c r="E135" s="11"/>
      <c r="F135" s="24" t="s">
        <v>1412</v>
      </c>
      <c r="G135" s="38"/>
      <c r="H135" s="11" t="s">
        <v>1497</v>
      </c>
      <c r="I135" s="11"/>
      <c r="J135" s="11"/>
      <c r="K135" s="11"/>
      <c r="L135" s="11"/>
      <c r="M135" s="11"/>
      <c r="N135" s="11"/>
      <c r="O135" s="11"/>
      <c r="P135" s="11"/>
      <c r="Q135" s="11"/>
      <c r="R135" s="11"/>
      <c r="S135" s="24" t="s">
        <v>30</v>
      </c>
      <c r="T135" s="24" t="s">
        <v>30</v>
      </c>
      <c r="U135" s="24" t="str">
        <f t="shared" si="2"/>
        <v/>
      </c>
      <c r="V135" s="24"/>
    </row>
    <row r="136" spans="1:22" ht="408">
      <c r="A136" s="10" t="s">
        <v>832</v>
      </c>
      <c r="B136" s="11" t="str">
        <f>IFERROR(VLOOKUP(A136,Systems!A:B,2,FALSE),"Various")</f>
        <v>Fuel transfer system</v>
      </c>
      <c r="C136" s="11" t="s">
        <v>1119</v>
      </c>
      <c r="D136" s="11"/>
      <c r="E136" s="11"/>
      <c r="F136" s="24" t="s">
        <v>1412</v>
      </c>
      <c r="G136" s="38"/>
      <c r="H136" s="11" t="s">
        <v>1498</v>
      </c>
      <c r="I136" s="11"/>
      <c r="J136" s="11"/>
      <c r="K136" s="11"/>
      <c r="L136" s="11"/>
      <c r="M136" s="11"/>
      <c r="N136" s="11"/>
      <c r="O136" s="11"/>
      <c r="P136" s="11"/>
      <c r="Q136" s="11"/>
      <c r="R136" s="11"/>
      <c r="S136" s="24" t="s">
        <v>30</v>
      </c>
      <c r="T136" s="24" t="s">
        <v>30</v>
      </c>
      <c r="U136" s="24" t="str">
        <f t="shared" si="2"/>
        <v/>
      </c>
      <c r="V136" s="24"/>
    </row>
    <row r="137" spans="1:22" ht="89.25">
      <c r="A137" s="10" t="s">
        <v>832</v>
      </c>
      <c r="B137" s="11" t="str">
        <f>IFERROR(VLOOKUP(A137,Systems!A:B,2,FALSE),"Various")</f>
        <v>Fuel transfer system</v>
      </c>
      <c r="C137" s="11" t="s">
        <v>1120</v>
      </c>
      <c r="D137" s="11"/>
      <c r="E137" s="11"/>
      <c r="F137" s="24" t="s">
        <v>1412</v>
      </c>
      <c r="G137" s="38"/>
      <c r="H137" s="11" t="s">
        <v>1499</v>
      </c>
      <c r="I137" s="11"/>
      <c r="J137" s="11"/>
      <c r="K137" s="11"/>
      <c r="L137" s="11"/>
      <c r="M137" s="11"/>
      <c r="N137" s="11"/>
      <c r="O137" s="11"/>
      <c r="P137" s="11"/>
      <c r="Q137" s="11"/>
      <c r="R137" s="11"/>
      <c r="S137" s="24" t="s">
        <v>30</v>
      </c>
      <c r="T137" s="24"/>
      <c r="U137" s="24" t="str">
        <f t="shared" si="2"/>
        <v/>
      </c>
      <c r="V137" s="24"/>
    </row>
    <row r="138" spans="1:22" ht="178.5">
      <c r="A138" s="10" t="s">
        <v>832</v>
      </c>
      <c r="B138" s="11" t="str">
        <f>IFERROR(VLOOKUP(A138,Systems!A:B,2,FALSE),"Various")</f>
        <v>Fuel transfer system</v>
      </c>
      <c r="C138" s="11" t="s">
        <v>1121</v>
      </c>
      <c r="D138" s="11"/>
      <c r="E138" s="11"/>
      <c r="F138" s="24" t="s">
        <v>1412</v>
      </c>
      <c r="G138" s="38"/>
      <c r="H138" s="11" t="s">
        <v>1500</v>
      </c>
      <c r="I138" s="11"/>
      <c r="J138" s="11"/>
      <c r="K138" s="11"/>
      <c r="L138" s="11"/>
      <c r="M138" s="11"/>
      <c r="N138" s="11"/>
      <c r="O138" s="11"/>
      <c r="P138" s="11"/>
      <c r="Q138" s="11"/>
      <c r="R138" s="11"/>
      <c r="S138" s="24" t="s">
        <v>30</v>
      </c>
      <c r="T138" s="24"/>
      <c r="U138" s="24" t="str">
        <f t="shared" si="2"/>
        <v/>
      </c>
      <c r="V138" s="24"/>
    </row>
    <row r="139" spans="1:22" ht="38.25">
      <c r="A139" s="10" t="s">
        <v>832</v>
      </c>
      <c r="B139" s="11" t="str">
        <f>IFERROR(VLOOKUP(A139,Systems!A:B,2,FALSE),"Various")</f>
        <v>Fuel transfer system</v>
      </c>
      <c r="C139" s="11" t="s">
        <v>1122</v>
      </c>
      <c r="D139" s="11"/>
      <c r="E139" s="11"/>
      <c r="F139" s="24" t="s">
        <v>1412</v>
      </c>
      <c r="G139" s="38"/>
      <c r="H139" s="11" t="s">
        <v>1501</v>
      </c>
      <c r="I139" s="11"/>
      <c r="J139" s="11"/>
      <c r="K139" s="11"/>
      <c r="L139" s="11"/>
      <c r="M139" s="11"/>
      <c r="N139" s="11"/>
      <c r="O139" s="11"/>
      <c r="P139" s="11"/>
      <c r="Q139" s="11"/>
      <c r="R139" s="11"/>
      <c r="S139" s="24" t="s">
        <v>30</v>
      </c>
      <c r="T139" s="24"/>
      <c r="U139" s="24" t="str">
        <f t="shared" si="2"/>
        <v/>
      </c>
      <c r="V139" s="24"/>
    </row>
    <row r="140" spans="1:22" ht="76.5">
      <c r="A140" s="10" t="s">
        <v>832</v>
      </c>
      <c r="B140" s="11" t="str">
        <f>IFERROR(VLOOKUP(A140,Systems!A:B,2,FALSE),"Various")</f>
        <v>Fuel transfer system</v>
      </c>
      <c r="C140" s="11" t="s">
        <v>1123</v>
      </c>
      <c r="D140" s="11"/>
      <c r="E140" s="11"/>
      <c r="F140" s="24" t="s">
        <v>1412</v>
      </c>
      <c r="G140" s="38"/>
      <c r="H140" s="11" t="s">
        <v>1502</v>
      </c>
      <c r="I140" s="11"/>
      <c r="J140" s="11"/>
      <c r="K140" s="11"/>
      <c r="L140" s="11"/>
      <c r="M140" s="11"/>
      <c r="N140" s="11"/>
      <c r="O140" s="11"/>
      <c r="P140" s="11"/>
      <c r="Q140" s="11"/>
      <c r="R140" s="11"/>
      <c r="S140" s="24" t="s">
        <v>30</v>
      </c>
      <c r="T140" s="24"/>
      <c r="U140" s="24" t="str">
        <f t="shared" si="2"/>
        <v/>
      </c>
      <c r="V140" s="24"/>
    </row>
    <row r="141" spans="1:22" ht="51">
      <c r="A141" s="10" t="s">
        <v>832</v>
      </c>
      <c r="B141" s="11" t="str">
        <f>IFERROR(VLOOKUP(A141,Systems!A:B,2,FALSE),"Various")</f>
        <v>Fuel transfer system</v>
      </c>
      <c r="C141" s="11" t="s">
        <v>1124</v>
      </c>
      <c r="D141" s="11"/>
      <c r="E141" s="11"/>
      <c r="F141" s="24" t="s">
        <v>1412</v>
      </c>
      <c r="G141" s="38"/>
      <c r="H141" s="11" t="s">
        <v>1503</v>
      </c>
      <c r="I141" s="11"/>
      <c r="J141" s="11"/>
      <c r="K141" s="11"/>
      <c r="L141" s="11"/>
      <c r="M141" s="11"/>
      <c r="N141" s="11"/>
      <c r="O141" s="11"/>
      <c r="P141" s="11"/>
      <c r="Q141" s="11"/>
      <c r="R141" s="11"/>
      <c r="S141" s="24" t="s">
        <v>30</v>
      </c>
      <c r="T141" s="24"/>
      <c r="U141" s="24" t="str">
        <f t="shared" si="2"/>
        <v/>
      </c>
      <c r="V141" s="24"/>
    </row>
    <row r="142" spans="1:22" ht="153">
      <c r="A142" s="10" t="s">
        <v>832</v>
      </c>
      <c r="B142" s="11" t="str">
        <f>IFERROR(VLOOKUP(A142,Systems!A:B,2,FALSE),"Various")</f>
        <v>Fuel transfer system</v>
      </c>
      <c r="C142" s="11" t="s">
        <v>1125</v>
      </c>
      <c r="D142" s="11"/>
      <c r="E142" s="11"/>
      <c r="F142" s="24" t="s">
        <v>1412</v>
      </c>
      <c r="G142" s="38"/>
      <c r="H142" s="11" t="s">
        <v>1504</v>
      </c>
      <c r="I142" s="11"/>
      <c r="J142" s="11"/>
      <c r="K142" s="11"/>
      <c r="L142" s="11"/>
      <c r="M142" s="11"/>
      <c r="N142" s="11"/>
      <c r="O142" s="11"/>
      <c r="P142" s="11"/>
      <c r="Q142" s="11"/>
      <c r="R142" s="11"/>
      <c r="S142" s="24" t="s">
        <v>30</v>
      </c>
      <c r="T142" s="24"/>
      <c r="U142" s="24" t="str">
        <f t="shared" si="2"/>
        <v/>
      </c>
      <c r="V142" s="24"/>
    </row>
    <row r="143" spans="1:22" ht="76.5">
      <c r="A143" s="10" t="s">
        <v>832</v>
      </c>
      <c r="B143" s="11" t="str">
        <f>IFERROR(VLOOKUP(A143,Systems!A:B,2,FALSE),"Various")</f>
        <v>Fuel transfer system</v>
      </c>
      <c r="C143" s="11" t="s">
        <v>1126</v>
      </c>
      <c r="D143" s="11"/>
      <c r="E143" s="11"/>
      <c r="F143" s="24" t="s">
        <v>1412</v>
      </c>
      <c r="G143" s="38"/>
      <c r="H143" s="11" t="s">
        <v>1505</v>
      </c>
      <c r="I143" s="11"/>
      <c r="J143" s="11"/>
      <c r="K143" s="11"/>
      <c r="L143" s="11"/>
      <c r="M143" s="11"/>
      <c r="N143" s="11"/>
      <c r="O143" s="11"/>
      <c r="P143" s="11"/>
      <c r="Q143" s="11"/>
      <c r="R143" s="11"/>
      <c r="S143" s="24" t="s">
        <v>30</v>
      </c>
      <c r="T143" s="24" t="s">
        <v>30</v>
      </c>
      <c r="U143" s="24" t="str">
        <f t="shared" si="2"/>
        <v/>
      </c>
      <c r="V143" s="24"/>
    </row>
    <row r="144" spans="1:22" ht="306">
      <c r="A144" s="10" t="s">
        <v>832</v>
      </c>
      <c r="B144" s="11" t="str">
        <f>IFERROR(VLOOKUP(A144,Systems!A:B,2,FALSE),"Various")</f>
        <v>Fuel transfer system</v>
      </c>
      <c r="C144" s="11" t="s">
        <v>1127</v>
      </c>
      <c r="D144" s="11"/>
      <c r="E144" s="11"/>
      <c r="F144" s="24" t="s">
        <v>1412</v>
      </c>
      <c r="G144" s="38"/>
      <c r="H144" s="11" t="s">
        <v>1506</v>
      </c>
      <c r="I144" s="11"/>
      <c r="J144" s="11"/>
      <c r="K144" s="11"/>
      <c r="L144" s="11"/>
      <c r="M144" s="11"/>
      <c r="N144" s="11"/>
      <c r="O144" s="11"/>
      <c r="P144" s="11"/>
      <c r="Q144" s="11"/>
      <c r="R144" s="11"/>
      <c r="S144" s="24" t="s">
        <v>30</v>
      </c>
      <c r="T144" s="24"/>
      <c r="U144" s="24" t="str">
        <f t="shared" si="2"/>
        <v/>
      </c>
      <c r="V144" s="24"/>
    </row>
    <row r="145" spans="1:22" ht="357">
      <c r="A145" s="10" t="s">
        <v>832</v>
      </c>
      <c r="B145" s="11" t="str">
        <f>IFERROR(VLOOKUP(A145,Systems!A:B,2,FALSE),"Various")</f>
        <v>Fuel transfer system</v>
      </c>
      <c r="C145" s="11" t="s">
        <v>1128</v>
      </c>
      <c r="D145" s="11"/>
      <c r="E145" s="11"/>
      <c r="F145" s="24" t="s">
        <v>1412</v>
      </c>
      <c r="G145" s="38"/>
      <c r="H145" s="11" t="s">
        <v>1507</v>
      </c>
      <c r="I145" s="11"/>
      <c r="J145" s="11" t="s">
        <v>2053</v>
      </c>
      <c r="K145" s="11"/>
      <c r="L145" s="11"/>
      <c r="M145" s="11"/>
      <c r="N145" s="11"/>
      <c r="O145" s="11"/>
      <c r="P145" s="11"/>
      <c r="Q145" s="11"/>
      <c r="R145" s="11"/>
      <c r="S145" s="24" t="s">
        <v>30</v>
      </c>
      <c r="T145" s="24"/>
      <c r="U145" s="24" t="str">
        <f t="shared" si="2"/>
        <v/>
      </c>
      <c r="V145" s="24"/>
    </row>
    <row r="146" spans="1:22" ht="25.5">
      <c r="A146" s="10" t="s">
        <v>832</v>
      </c>
      <c r="B146" s="11" t="str">
        <f>IFERROR(VLOOKUP(A146,Systems!A:B,2,FALSE),"Various")</f>
        <v>Fuel transfer system</v>
      </c>
      <c r="C146" s="11" t="s">
        <v>1134</v>
      </c>
      <c r="D146" s="11"/>
      <c r="E146" s="11"/>
      <c r="F146" s="24" t="s">
        <v>1412</v>
      </c>
      <c r="G146" s="38"/>
      <c r="H146" s="11" t="s">
        <v>1508</v>
      </c>
      <c r="I146" s="11"/>
      <c r="J146" s="11"/>
      <c r="K146" s="11"/>
      <c r="L146" s="11"/>
      <c r="M146" s="11"/>
      <c r="N146" s="11"/>
      <c r="O146" s="11"/>
      <c r="P146" s="11"/>
      <c r="Q146" s="11"/>
      <c r="R146" s="11"/>
      <c r="S146" s="24" t="s">
        <v>30</v>
      </c>
      <c r="T146" s="24"/>
      <c r="U146" s="24"/>
      <c r="V146" s="24"/>
    </row>
    <row r="147" spans="1:22" ht="127.5">
      <c r="A147" s="10" t="s">
        <v>1109</v>
      </c>
      <c r="B147" s="11" t="str">
        <f>IFERROR(VLOOKUP(A147,Systems!A:B,2,FALSE),"Various")</f>
        <v>Fuel-oil systems</v>
      </c>
      <c r="C147" s="11" t="s">
        <v>1085</v>
      </c>
      <c r="D147" s="11"/>
      <c r="E147" s="11"/>
      <c r="F147" s="24" t="s">
        <v>1412</v>
      </c>
      <c r="G147" s="38"/>
      <c r="H147" s="11" t="s">
        <v>1509</v>
      </c>
      <c r="I147" s="11"/>
      <c r="J147" s="11"/>
      <c r="K147" s="11"/>
      <c r="L147" s="11"/>
      <c r="M147" s="11"/>
      <c r="N147" s="11"/>
      <c r="O147" s="11"/>
      <c r="P147" s="11"/>
      <c r="Q147" s="11"/>
      <c r="R147" s="11"/>
      <c r="S147" s="24" t="s">
        <v>30</v>
      </c>
      <c r="T147" s="24"/>
      <c r="U147" s="24"/>
      <c r="V147" s="24"/>
    </row>
    <row r="148" spans="1:22" ht="127.5">
      <c r="A148" s="10" t="s">
        <v>242</v>
      </c>
      <c r="B148" s="11" t="str">
        <f>IFERROR(VLOOKUP(A148,Systems!A:B,2,FALSE),"Various")</f>
        <v>Sounding and de-aeration</v>
      </c>
      <c r="C148" s="11" t="s">
        <v>1085</v>
      </c>
      <c r="D148" s="11"/>
      <c r="E148" s="11"/>
      <c r="F148" s="24" t="s">
        <v>1412</v>
      </c>
      <c r="G148" s="38"/>
      <c r="H148" s="11" t="s">
        <v>1509</v>
      </c>
      <c r="I148" s="11"/>
      <c r="J148" s="11"/>
      <c r="K148" s="11"/>
      <c r="L148" s="11"/>
      <c r="M148" s="11"/>
      <c r="N148" s="11"/>
      <c r="O148" s="11"/>
      <c r="P148" s="11"/>
      <c r="Q148" s="11"/>
      <c r="R148" s="11"/>
      <c r="S148" s="24" t="s">
        <v>30</v>
      </c>
      <c r="T148" s="24"/>
      <c r="U148" s="24"/>
      <c r="V148" s="24"/>
    </row>
    <row r="149" spans="1:22" ht="191.25">
      <c r="A149" s="10" t="s">
        <v>1109</v>
      </c>
      <c r="B149" s="11" t="str">
        <f>IFERROR(VLOOKUP(A149,Systems!A:B,2,FALSE),"Various")</f>
        <v>Fuel-oil systems</v>
      </c>
      <c r="C149" s="11" t="s">
        <v>1129</v>
      </c>
      <c r="D149" s="11"/>
      <c r="E149" s="11"/>
      <c r="F149" s="24" t="s">
        <v>1412</v>
      </c>
      <c r="G149" s="38"/>
      <c r="H149" s="11" t="s">
        <v>1510</v>
      </c>
      <c r="I149" s="11"/>
      <c r="J149" s="11"/>
      <c r="K149" s="11"/>
      <c r="L149" s="11"/>
      <c r="M149" s="11"/>
      <c r="N149" s="11"/>
      <c r="O149" s="11"/>
      <c r="P149" s="11"/>
      <c r="Q149" s="11"/>
      <c r="R149" s="11"/>
      <c r="S149" s="24" t="s">
        <v>30</v>
      </c>
      <c r="T149" s="24" t="s">
        <v>30</v>
      </c>
      <c r="U149" s="24" t="str">
        <f t="shared" ref="U149:U180" si="3">IF(OR(NOT(H149=""),NOT(M149="")),"","x")</f>
        <v/>
      </c>
      <c r="V149" s="24"/>
    </row>
    <row r="150" spans="1:22" ht="409.5">
      <c r="A150" s="10" t="s">
        <v>832</v>
      </c>
      <c r="B150" s="11" t="str">
        <f>IFERROR(VLOOKUP(A150,Systems!A:B,2,FALSE),"Various")</f>
        <v>Fuel transfer system</v>
      </c>
      <c r="C150" s="11" t="s">
        <v>1130</v>
      </c>
      <c r="D150" s="11"/>
      <c r="E150" s="11"/>
      <c r="F150" s="24" t="s">
        <v>1412</v>
      </c>
      <c r="G150" s="38"/>
      <c r="H150" s="11" t="s">
        <v>1511</v>
      </c>
      <c r="I150" s="11"/>
      <c r="J150" s="11"/>
      <c r="K150" s="11"/>
      <c r="L150" s="11"/>
      <c r="M150" s="11"/>
      <c r="N150" s="11"/>
      <c r="O150" s="11"/>
      <c r="P150" s="11"/>
      <c r="Q150" s="11"/>
      <c r="R150" s="11"/>
      <c r="S150" s="24" t="s">
        <v>30</v>
      </c>
      <c r="T150" s="24"/>
      <c r="U150" s="24" t="str">
        <f t="shared" si="3"/>
        <v/>
      </c>
      <c r="V150" s="24"/>
    </row>
    <row r="151" spans="1:22" ht="229.5">
      <c r="A151" s="10" t="s">
        <v>832</v>
      </c>
      <c r="B151" s="11" t="str">
        <f>IFERROR(VLOOKUP(A151,Systems!A:B,2,FALSE),"Various")</f>
        <v>Fuel transfer system</v>
      </c>
      <c r="C151" s="11" t="s">
        <v>1131</v>
      </c>
      <c r="D151" s="11"/>
      <c r="E151" s="11"/>
      <c r="F151" s="24" t="s">
        <v>1412</v>
      </c>
      <c r="G151" s="38"/>
      <c r="H151" s="11" t="s">
        <v>1512</v>
      </c>
      <c r="I151" s="11"/>
      <c r="J151" s="11"/>
      <c r="K151" s="11"/>
      <c r="L151" s="11"/>
      <c r="M151" s="11"/>
      <c r="N151" s="11"/>
      <c r="O151" s="11"/>
      <c r="P151" s="11"/>
      <c r="Q151" s="11"/>
      <c r="R151" s="11"/>
      <c r="S151" s="24" t="s">
        <v>30</v>
      </c>
      <c r="T151" s="24"/>
      <c r="U151" s="24" t="str">
        <f t="shared" si="3"/>
        <v/>
      </c>
      <c r="V151" s="24"/>
    </row>
    <row r="152" spans="1:22" ht="89.25">
      <c r="A152" s="10" t="s">
        <v>833</v>
      </c>
      <c r="B152" s="11" t="str">
        <f>IFERROR(VLOOKUP(A152,Systems!A:B,2,FALSE),"Various")</f>
        <v>Fuel supply system</v>
      </c>
      <c r="C152" s="11" t="s">
        <v>1132</v>
      </c>
      <c r="D152" s="11"/>
      <c r="E152" s="11"/>
      <c r="F152" s="24" t="s">
        <v>1412</v>
      </c>
      <c r="G152" s="38"/>
      <c r="H152" s="11" t="s">
        <v>1133</v>
      </c>
      <c r="I152" s="11"/>
      <c r="J152" s="11"/>
      <c r="K152" s="11"/>
      <c r="L152" s="11"/>
      <c r="M152" s="11"/>
      <c r="N152" s="11"/>
      <c r="O152" s="11"/>
      <c r="P152" s="11"/>
      <c r="Q152" s="11"/>
      <c r="R152" s="11"/>
      <c r="S152" s="24" t="s">
        <v>30</v>
      </c>
      <c r="T152" s="24"/>
      <c r="U152" s="24" t="str">
        <f t="shared" si="3"/>
        <v/>
      </c>
      <c r="V152" s="24"/>
    </row>
    <row r="153" spans="1:22" ht="102">
      <c r="A153" s="10" t="s">
        <v>1109</v>
      </c>
      <c r="B153" s="11" t="str">
        <f>IFERROR(VLOOKUP(A153,Systems!A:B,2,FALSE),"Various")</f>
        <v>Fuel-oil systems</v>
      </c>
      <c r="C153" s="11" t="s">
        <v>1134</v>
      </c>
      <c r="D153" s="11"/>
      <c r="E153" s="11"/>
      <c r="F153" s="24" t="s">
        <v>1412</v>
      </c>
      <c r="G153" s="38"/>
      <c r="H153" s="11" t="s">
        <v>1513</v>
      </c>
      <c r="I153" s="11"/>
      <c r="J153" s="11"/>
      <c r="K153" s="11"/>
      <c r="L153" s="11"/>
      <c r="M153" s="11"/>
      <c r="N153" s="11"/>
      <c r="O153" s="11"/>
      <c r="P153" s="11"/>
      <c r="Q153" s="11"/>
      <c r="R153" s="11"/>
      <c r="S153" s="24" t="s">
        <v>30</v>
      </c>
      <c r="T153" s="24"/>
      <c r="U153" s="24" t="str">
        <f t="shared" si="3"/>
        <v/>
      </c>
      <c r="V153" s="24"/>
    </row>
    <row r="154" spans="1:22" ht="191.25">
      <c r="A154" s="10" t="s">
        <v>833</v>
      </c>
      <c r="B154" s="11" t="str">
        <f>IFERROR(VLOOKUP(A154,Systems!A:B,2,FALSE),"Various")</f>
        <v>Fuel supply system</v>
      </c>
      <c r="C154" s="11" t="s">
        <v>1135</v>
      </c>
      <c r="D154" s="11"/>
      <c r="E154" s="11"/>
      <c r="F154" s="24" t="s">
        <v>1412</v>
      </c>
      <c r="G154" s="38"/>
      <c r="H154" s="11" t="s">
        <v>1531</v>
      </c>
      <c r="I154" s="11"/>
      <c r="J154" s="11"/>
      <c r="K154" s="11"/>
      <c r="L154" s="11"/>
      <c r="M154" s="11"/>
      <c r="N154" s="11"/>
      <c r="O154" s="11"/>
      <c r="P154" s="11"/>
      <c r="Q154" s="11"/>
      <c r="R154" s="11"/>
      <c r="S154" s="24" t="s">
        <v>30</v>
      </c>
      <c r="T154" s="24" t="s">
        <v>30</v>
      </c>
      <c r="U154" s="24" t="str">
        <f t="shared" si="3"/>
        <v/>
      </c>
      <c r="V154" s="24"/>
    </row>
    <row r="155" spans="1:22" ht="229.5">
      <c r="A155" s="10" t="s">
        <v>832</v>
      </c>
      <c r="B155" s="11" t="str">
        <f>IFERROR(VLOOKUP(A155,Systems!A:B,2,FALSE),"Various")</f>
        <v>Fuel transfer system</v>
      </c>
      <c r="C155" s="11" t="s">
        <v>1138</v>
      </c>
      <c r="D155" s="11"/>
      <c r="E155" s="11"/>
      <c r="F155" s="24" t="s">
        <v>1412</v>
      </c>
      <c r="G155" s="38"/>
      <c r="H155" s="11" t="s">
        <v>1514</v>
      </c>
      <c r="I155" s="11"/>
      <c r="J155" s="11"/>
      <c r="K155" s="11"/>
      <c r="L155" s="11"/>
      <c r="M155" s="11"/>
      <c r="N155" s="11"/>
      <c r="O155" s="11"/>
      <c r="P155" s="11"/>
      <c r="Q155" s="11"/>
      <c r="R155" s="11"/>
      <c r="S155" s="24" t="s">
        <v>30</v>
      </c>
      <c r="T155" s="24" t="s">
        <v>30</v>
      </c>
      <c r="U155" s="24" t="str">
        <f t="shared" si="3"/>
        <v/>
      </c>
      <c r="V155" s="24"/>
    </row>
    <row r="156" spans="1:22" ht="38.25">
      <c r="A156" s="10" t="s">
        <v>833</v>
      </c>
      <c r="B156" s="11" t="str">
        <f>IFERROR(VLOOKUP(A156,Systems!A:B,2,FALSE),"Various")</f>
        <v>Fuel supply system</v>
      </c>
      <c r="C156" s="11" t="s">
        <v>1142</v>
      </c>
      <c r="D156" s="11"/>
      <c r="E156" s="11"/>
      <c r="F156" s="24" t="s">
        <v>1412</v>
      </c>
      <c r="G156" s="38"/>
      <c r="H156" s="11" t="s">
        <v>1532</v>
      </c>
      <c r="I156" s="11"/>
      <c r="J156" s="11"/>
      <c r="K156" s="11"/>
      <c r="L156" s="11"/>
      <c r="M156" s="11"/>
      <c r="N156" s="11"/>
      <c r="O156" s="11"/>
      <c r="P156" s="11"/>
      <c r="Q156" s="11"/>
      <c r="R156" s="11"/>
      <c r="S156" s="24" t="s">
        <v>30</v>
      </c>
      <c r="T156" s="24" t="s">
        <v>30</v>
      </c>
      <c r="U156" s="24" t="str">
        <f t="shared" si="3"/>
        <v/>
      </c>
      <c r="V156" s="24"/>
    </row>
    <row r="157" spans="1:22" ht="89.25">
      <c r="A157" s="10" t="s">
        <v>833</v>
      </c>
      <c r="B157" s="11" t="str">
        <f>IFERROR(VLOOKUP(A157,Systems!A:B,2,FALSE),"Various")</f>
        <v>Fuel supply system</v>
      </c>
      <c r="C157" s="11" t="s">
        <v>1143</v>
      </c>
      <c r="D157" s="11"/>
      <c r="E157" s="11"/>
      <c r="F157" s="24" t="s">
        <v>1412</v>
      </c>
      <c r="G157" s="38"/>
      <c r="H157" s="11" t="s">
        <v>1533</v>
      </c>
      <c r="I157" s="11"/>
      <c r="J157" s="11"/>
      <c r="K157" s="11"/>
      <c r="L157" s="11"/>
      <c r="M157" s="11"/>
      <c r="N157" s="11"/>
      <c r="O157" s="11"/>
      <c r="P157" s="11"/>
      <c r="Q157" s="11"/>
      <c r="R157" s="11"/>
      <c r="S157" s="24" t="s">
        <v>30</v>
      </c>
      <c r="T157" s="24" t="s">
        <v>30</v>
      </c>
      <c r="U157" s="24" t="str">
        <f t="shared" si="3"/>
        <v/>
      </c>
      <c r="V157" s="24"/>
    </row>
    <row r="158" spans="1:22" ht="102">
      <c r="A158" s="10" t="s">
        <v>833</v>
      </c>
      <c r="B158" s="11" t="str">
        <f>IFERROR(VLOOKUP(A158,Systems!A:B,2,FALSE),"Various")</f>
        <v>Fuel supply system</v>
      </c>
      <c r="C158" s="11" t="s">
        <v>1139</v>
      </c>
      <c r="D158" s="11"/>
      <c r="E158" s="11"/>
      <c r="F158" s="24" t="s">
        <v>1412</v>
      </c>
      <c r="G158" s="38"/>
      <c r="H158" s="11" t="s">
        <v>1137</v>
      </c>
      <c r="I158" s="11"/>
      <c r="J158" s="11"/>
      <c r="K158" s="11"/>
      <c r="L158" s="11"/>
      <c r="M158" s="11"/>
      <c r="N158" s="11"/>
      <c r="O158" s="11"/>
      <c r="P158" s="11"/>
      <c r="Q158" s="11"/>
      <c r="R158" s="11"/>
      <c r="S158" s="24" t="s">
        <v>30</v>
      </c>
      <c r="T158" s="24"/>
      <c r="U158" s="24" t="str">
        <f t="shared" si="3"/>
        <v/>
      </c>
      <c r="V158" s="24"/>
    </row>
    <row r="159" spans="1:22" ht="38.25">
      <c r="A159" s="10" t="s">
        <v>833</v>
      </c>
      <c r="B159" s="11" t="str">
        <f>IFERROR(VLOOKUP(A159,Systems!A:B,2,FALSE),"Various")</f>
        <v>Fuel supply system</v>
      </c>
      <c r="C159" s="11" t="s">
        <v>1140</v>
      </c>
      <c r="D159" s="11"/>
      <c r="E159" s="11"/>
      <c r="F159" s="24" t="s">
        <v>1412</v>
      </c>
      <c r="G159" s="38"/>
      <c r="H159" s="11" t="s">
        <v>1534</v>
      </c>
      <c r="I159" s="11"/>
      <c r="J159" s="11"/>
      <c r="K159" s="11"/>
      <c r="L159" s="11"/>
      <c r="M159" s="11"/>
      <c r="N159" s="11"/>
      <c r="O159" s="11"/>
      <c r="P159" s="11"/>
      <c r="Q159" s="11"/>
      <c r="R159" s="11"/>
      <c r="S159" s="24" t="s">
        <v>30</v>
      </c>
      <c r="T159" s="24"/>
      <c r="U159" s="24" t="str">
        <f t="shared" si="3"/>
        <v/>
      </c>
      <c r="V159" s="24"/>
    </row>
    <row r="160" spans="1:22" ht="306">
      <c r="A160" s="10" t="s">
        <v>833</v>
      </c>
      <c r="B160" s="11" t="str">
        <f>IFERROR(VLOOKUP(A160,Systems!A:B,2,FALSE),"Various")</f>
        <v>Fuel supply system</v>
      </c>
      <c r="C160" s="11" t="s">
        <v>1145</v>
      </c>
      <c r="D160" s="11"/>
      <c r="E160" s="11"/>
      <c r="F160" s="24" t="s">
        <v>1412</v>
      </c>
      <c r="G160" s="38"/>
      <c r="H160" s="11" t="s">
        <v>1141</v>
      </c>
      <c r="I160" s="11"/>
      <c r="J160" s="11"/>
      <c r="K160" s="11"/>
      <c r="L160" s="11"/>
      <c r="M160" s="11"/>
      <c r="N160" s="11"/>
      <c r="O160" s="11"/>
      <c r="P160" s="11"/>
      <c r="Q160" s="11"/>
      <c r="R160" s="11"/>
      <c r="S160" s="24" t="s">
        <v>30</v>
      </c>
      <c r="T160" s="24"/>
      <c r="U160" s="24" t="str">
        <f t="shared" si="3"/>
        <v/>
      </c>
      <c r="V160" s="24"/>
    </row>
    <row r="161" spans="1:22" ht="242.25">
      <c r="A161" s="10" t="s">
        <v>833</v>
      </c>
      <c r="B161" s="11" t="str">
        <f>IFERROR(VLOOKUP(A161,Systems!A:B,2,FALSE),"Various")</f>
        <v>Fuel supply system</v>
      </c>
      <c r="C161" s="11" t="s">
        <v>1146</v>
      </c>
      <c r="D161" s="11"/>
      <c r="E161" s="11"/>
      <c r="F161" s="24" t="s">
        <v>1412</v>
      </c>
      <c r="G161" s="38"/>
      <c r="H161" s="11" t="s">
        <v>1144</v>
      </c>
      <c r="I161" s="11"/>
      <c r="J161" s="11"/>
      <c r="K161" s="11"/>
      <c r="L161" s="11"/>
      <c r="M161" s="11"/>
      <c r="N161" s="11"/>
      <c r="O161" s="11"/>
      <c r="P161" s="11"/>
      <c r="Q161" s="11"/>
      <c r="R161" s="11"/>
      <c r="S161" s="24" t="s">
        <v>30</v>
      </c>
      <c r="T161" s="24" t="s">
        <v>30</v>
      </c>
      <c r="U161" s="24" t="str">
        <f t="shared" si="3"/>
        <v/>
      </c>
      <c r="V161" s="24"/>
    </row>
    <row r="162" spans="1:22" ht="76.5">
      <c r="A162" s="10" t="s">
        <v>833</v>
      </c>
      <c r="B162" s="11" t="str">
        <f>IFERROR(VLOOKUP(A162,Systems!A:B,2,FALSE),"Various")</f>
        <v>Fuel supply system</v>
      </c>
      <c r="C162" s="11" t="s">
        <v>1147</v>
      </c>
      <c r="D162" s="11"/>
      <c r="E162" s="11"/>
      <c r="F162" s="24" t="s">
        <v>1412</v>
      </c>
      <c r="G162" s="38"/>
      <c r="H162" s="11" t="s">
        <v>1535</v>
      </c>
      <c r="I162" s="11"/>
      <c r="J162" s="11"/>
      <c r="K162" s="11"/>
      <c r="L162" s="11"/>
      <c r="M162" s="11"/>
      <c r="N162" s="11"/>
      <c r="O162" s="11"/>
      <c r="P162" s="11"/>
      <c r="Q162" s="11"/>
      <c r="R162" s="11"/>
      <c r="S162" s="24" t="s">
        <v>30</v>
      </c>
      <c r="T162" s="24" t="s">
        <v>30</v>
      </c>
      <c r="U162" s="24" t="str">
        <f t="shared" si="3"/>
        <v/>
      </c>
      <c r="V162" s="24"/>
    </row>
    <row r="163" spans="1:22" ht="38.25">
      <c r="A163" s="10" t="s">
        <v>833</v>
      </c>
      <c r="B163" s="11" t="str">
        <f>IFERROR(VLOOKUP(A163,Systems!A:B,2,FALSE),"Various")</f>
        <v>Fuel supply system</v>
      </c>
      <c r="C163" s="11" t="s">
        <v>1148</v>
      </c>
      <c r="D163" s="11"/>
      <c r="E163" s="11"/>
      <c r="F163" s="24" t="s">
        <v>1412</v>
      </c>
      <c r="G163" s="38"/>
      <c r="H163" s="11" t="s">
        <v>1536</v>
      </c>
      <c r="I163" s="11"/>
      <c r="J163" s="11"/>
      <c r="K163" s="11"/>
      <c r="L163" s="11"/>
      <c r="M163" s="11"/>
      <c r="N163" s="11"/>
      <c r="O163" s="11"/>
      <c r="P163" s="11"/>
      <c r="Q163" s="11"/>
      <c r="R163" s="11"/>
      <c r="S163" s="24" t="s">
        <v>30</v>
      </c>
      <c r="T163" s="24" t="s">
        <v>30</v>
      </c>
      <c r="U163" s="24" t="str">
        <f t="shared" si="3"/>
        <v/>
      </c>
      <c r="V163" s="24"/>
    </row>
    <row r="164" spans="1:22" ht="51">
      <c r="A164" s="10" t="s">
        <v>833</v>
      </c>
      <c r="B164" s="11" t="str">
        <f>IFERROR(VLOOKUP(A164,Systems!A:B,2,FALSE),"Various")</f>
        <v>Fuel supply system</v>
      </c>
      <c r="C164" s="11" t="s">
        <v>1143</v>
      </c>
      <c r="D164" s="11"/>
      <c r="E164" s="11"/>
      <c r="F164" s="24" t="s">
        <v>1412</v>
      </c>
      <c r="G164" s="38"/>
      <c r="H164" s="11" t="s">
        <v>1537</v>
      </c>
      <c r="I164" s="11"/>
      <c r="J164" s="11"/>
      <c r="K164" s="11"/>
      <c r="L164" s="11"/>
      <c r="M164" s="11"/>
      <c r="N164" s="11"/>
      <c r="O164" s="11"/>
      <c r="P164" s="11"/>
      <c r="Q164" s="11"/>
      <c r="R164" s="11"/>
      <c r="S164" s="24" t="s">
        <v>30</v>
      </c>
      <c r="T164" s="24"/>
      <c r="U164" s="24" t="str">
        <f t="shared" si="3"/>
        <v/>
      </c>
      <c r="V164" s="24"/>
    </row>
    <row r="165" spans="1:22" ht="280.5">
      <c r="A165" s="10" t="s">
        <v>833</v>
      </c>
      <c r="B165" s="11" t="str">
        <f>IFERROR(VLOOKUP(A165,Systems!A:B,2,FALSE),"Various")</f>
        <v>Fuel supply system</v>
      </c>
      <c r="C165" s="11" t="s">
        <v>1156</v>
      </c>
      <c r="D165" s="11"/>
      <c r="E165" s="11"/>
      <c r="F165" s="24" t="s">
        <v>1412</v>
      </c>
      <c r="G165" s="38"/>
      <c r="H165" s="11" t="s">
        <v>1157</v>
      </c>
      <c r="I165" s="11"/>
      <c r="J165" s="11"/>
      <c r="K165" s="11"/>
      <c r="L165" s="11"/>
      <c r="M165" s="11"/>
      <c r="N165" s="11"/>
      <c r="O165" s="11"/>
      <c r="P165" s="11"/>
      <c r="Q165" s="11"/>
      <c r="R165" s="11"/>
      <c r="S165" s="24" t="s">
        <v>30</v>
      </c>
      <c r="T165" s="24" t="s">
        <v>30</v>
      </c>
      <c r="U165" s="24" t="str">
        <f t="shared" si="3"/>
        <v/>
      </c>
      <c r="V165" s="24"/>
    </row>
    <row r="166" spans="1:22" ht="38.25">
      <c r="A166" s="10" t="s">
        <v>833</v>
      </c>
      <c r="B166" s="11" t="str">
        <f>IFERROR(VLOOKUP(A166,Systems!A:B,2,FALSE),"Various")</f>
        <v>Fuel supply system</v>
      </c>
      <c r="C166" s="11" t="s">
        <v>1156</v>
      </c>
      <c r="D166" s="11"/>
      <c r="E166" s="11"/>
      <c r="F166" s="24" t="s">
        <v>1412</v>
      </c>
      <c r="G166" s="38"/>
      <c r="H166" s="11" t="s">
        <v>1149</v>
      </c>
      <c r="I166" s="11"/>
      <c r="J166" s="11"/>
      <c r="K166" s="11"/>
      <c r="L166" s="11"/>
      <c r="M166" s="11"/>
      <c r="N166" s="11"/>
      <c r="O166" s="11"/>
      <c r="P166" s="11"/>
      <c r="Q166" s="11"/>
      <c r="R166" s="11"/>
      <c r="S166" s="24" t="s">
        <v>30</v>
      </c>
      <c r="T166" s="24"/>
      <c r="U166" s="24" t="str">
        <f t="shared" si="3"/>
        <v/>
      </c>
      <c r="V166" s="24"/>
    </row>
    <row r="167" spans="1:22" ht="38.25">
      <c r="A167" s="10" t="s">
        <v>833</v>
      </c>
      <c r="B167" s="11" t="str">
        <f>IFERROR(VLOOKUP(A167,Systems!A:B,2,FALSE),"Various")</f>
        <v>Fuel supply system</v>
      </c>
      <c r="C167" s="11" t="s">
        <v>1158</v>
      </c>
      <c r="D167" s="11"/>
      <c r="E167" s="11"/>
      <c r="F167" s="24" t="s">
        <v>1412</v>
      </c>
      <c r="G167" s="38"/>
      <c r="H167" s="11" t="s">
        <v>1150</v>
      </c>
      <c r="I167" s="11"/>
      <c r="J167" s="11"/>
      <c r="K167" s="11"/>
      <c r="L167" s="11"/>
      <c r="M167" s="11"/>
      <c r="N167" s="11"/>
      <c r="O167" s="11"/>
      <c r="P167" s="11"/>
      <c r="Q167" s="11"/>
      <c r="R167" s="11"/>
      <c r="S167" s="24" t="s">
        <v>30</v>
      </c>
      <c r="T167" s="24" t="s">
        <v>30</v>
      </c>
      <c r="U167" s="24" t="str">
        <f t="shared" si="3"/>
        <v/>
      </c>
      <c r="V167" s="24"/>
    </row>
    <row r="168" spans="1:22" ht="25.5">
      <c r="A168" s="10" t="s">
        <v>833</v>
      </c>
      <c r="B168" s="11" t="str">
        <f>IFERROR(VLOOKUP(A168,Systems!A:B,2,FALSE),"Various")</f>
        <v>Fuel supply system</v>
      </c>
      <c r="C168" s="11" t="s">
        <v>1159</v>
      </c>
      <c r="D168" s="11"/>
      <c r="E168" s="11"/>
      <c r="F168" s="24" t="s">
        <v>1412</v>
      </c>
      <c r="G168" s="38"/>
      <c r="H168" s="11" t="s">
        <v>1151</v>
      </c>
      <c r="I168" s="11"/>
      <c r="J168" s="11"/>
      <c r="K168" s="11"/>
      <c r="L168" s="11"/>
      <c r="M168" s="11"/>
      <c r="N168" s="11"/>
      <c r="O168" s="11"/>
      <c r="P168" s="11"/>
      <c r="Q168" s="11"/>
      <c r="R168" s="11"/>
      <c r="S168" s="24" t="s">
        <v>30</v>
      </c>
      <c r="T168" s="24"/>
      <c r="U168" s="24" t="str">
        <f t="shared" si="3"/>
        <v/>
      </c>
      <c r="V168" s="24"/>
    </row>
    <row r="169" spans="1:22">
      <c r="A169" s="10" t="s">
        <v>833</v>
      </c>
      <c r="B169" s="11" t="str">
        <f>IFERROR(VLOOKUP(A169,Systems!A:B,2,FALSE),"Various")</f>
        <v>Fuel supply system</v>
      </c>
      <c r="C169" s="11" t="s">
        <v>1160</v>
      </c>
      <c r="D169" s="11"/>
      <c r="E169" s="11"/>
      <c r="F169" s="24" t="s">
        <v>1412</v>
      </c>
      <c r="G169" s="38"/>
      <c r="H169" s="11" t="s">
        <v>1152</v>
      </c>
      <c r="I169" s="11"/>
      <c r="J169" s="11"/>
      <c r="K169" s="11"/>
      <c r="L169" s="11"/>
      <c r="M169" s="11"/>
      <c r="N169" s="11"/>
      <c r="O169" s="11"/>
      <c r="P169" s="11"/>
      <c r="Q169" s="11"/>
      <c r="R169" s="11"/>
      <c r="S169" s="24" t="s">
        <v>30</v>
      </c>
      <c r="T169" s="24" t="s">
        <v>30</v>
      </c>
      <c r="U169" s="24" t="str">
        <f t="shared" si="3"/>
        <v/>
      </c>
      <c r="V169" s="24"/>
    </row>
    <row r="170" spans="1:22" ht="51">
      <c r="A170" s="10" t="s">
        <v>833</v>
      </c>
      <c r="B170" s="11" t="str">
        <f>IFERROR(VLOOKUP(A170,Systems!A:B,2,FALSE),"Various")</f>
        <v>Fuel supply system</v>
      </c>
      <c r="C170" s="11" t="s">
        <v>1161</v>
      </c>
      <c r="D170" s="11"/>
      <c r="E170" s="11"/>
      <c r="F170" s="24" t="s">
        <v>1412</v>
      </c>
      <c r="G170" s="38"/>
      <c r="H170" s="11" t="s">
        <v>1153</v>
      </c>
      <c r="I170" s="11"/>
      <c r="J170" s="11"/>
      <c r="K170" s="11"/>
      <c r="L170" s="11"/>
      <c r="M170" s="11"/>
      <c r="N170" s="11"/>
      <c r="O170" s="11"/>
      <c r="P170" s="11"/>
      <c r="Q170" s="11"/>
      <c r="R170" s="11"/>
      <c r="S170" s="24" t="s">
        <v>30</v>
      </c>
      <c r="T170" s="24" t="s">
        <v>30</v>
      </c>
      <c r="U170" s="24" t="str">
        <f t="shared" si="3"/>
        <v/>
      </c>
      <c r="V170" s="24"/>
    </row>
    <row r="171" spans="1:22" ht="38.25">
      <c r="A171" s="10" t="s">
        <v>833</v>
      </c>
      <c r="B171" s="11" t="str">
        <f>IFERROR(VLOOKUP(A171,Systems!A:B,2,FALSE),"Various")</f>
        <v>Fuel supply system</v>
      </c>
      <c r="C171" s="11" t="s">
        <v>1162</v>
      </c>
      <c r="D171" s="11"/>
      <c r="E171" s="11"/>
      <c r="F171" s="24" t="s">
        <v>1412</v>
      </c>
      <c r="G171" s="38"/>
      <c r="H171" s="11" t="s">
        <v>1154</v>
      </c>
      <c r="I171" s="11"/>
      <c r="J171" s="11"/>
      <c r="K171" s="11"/>
      <c r="L171" s="11"/>
      <c r="M171" s="11"/>
      <c r="N171" s="11"/>
      <c r="O171" s="11"/>
      <c r="P171" s="11"/>
      <c r="Q171" s="11"/>
      <c r="R171" s="11"/>
      <c r="S171" s="24" t="s">
        <v>30</v>
      </c>
      <c r="T171" s="24"/>
      <c r="U171" s="24" t="str">
        <f t="shared" si="3"/>
        <v/>
      </c>
      <c r="V171" s="24"/>
    </row>
    <row r="172" spans="1:22" ht="25.5">
      <c r="A172" s="10" t="s">
        <v>833</v>
      </c>
      <c r="B172" s="11" t="str">
        <f>IFERROR(VLOOKUP(A172,Systems!A:B,2,FALSE),"Various")</f>
        <v>Fuel supply system</v>
      </c>
      <c r="C172" s="11" t="s">
        <v>1163</v>
      </c>
      <c r="D172" s="11"/>
      <c r="E172" s="11"/>
      <c r="F172" s="24" t="s">
        <v>1412</v>
      </c>
      <c r="G172" s="38"/>
      <c r="H172" s="11" t="s">
        <v>1155</v>
      </c>
      <c r="I172" s="11"/>
      <c r="J172" s="11"/>
      <c r="K172" s="11"/>
      <c r="L172" s="11"/>
      <c r="M172" s="11"/>
      <c r="N172" s="11"/>
      <c r="O172" s="11"/>
      <c r="P172" s="11"/>
      <c r="Q172" s="11"/>
      <c r="R172" s="11"/>
      <c r="S172" s="24" t="s">
        <v>30</v>
      </c>
      <c r="T172" s="24"/>
      <c r="U172" s="24" t="str">
        <f t="shared" si="3"/>
        <v/>
      </c>
      <c r="V172" s="24"/>
    </row>
    <row r="173" spans="1:22" ht="38.25">
      <c r="A173" s="10" t="s">
        <v>833</v>
      </c>
      <c r="B173" s="11" t="str">
        <f>IFERROR(VLOOKUP(A173,Systems!A:B,2,FALSE),"Various")</f>
        <v>Fuel supply system</v>
      </c>
      <c r="C173" s="11" t="s">
        <v>1165</v>
      </c>
      <c r="D173" s="11"/>
      <c r="E173" s="11"/>
      <c r="F173" s="24" t="s">
        <v>1412</v>
      </c>
      <c r="G173" s="38"/>
      <c r="H173" s="11" t="s">
        <v>1538</v>
      </c>
      <c r="I173" s="11"/>
      <c r="J173" s="11"/>
      <c r="K173" s="11"/>
      <c r="L173" s="11"/>
      <c r="M173" s="11"/>
      <c r="N173" s="11"/>
      <c r="O173" s="11"/>
      <c r="P173" s="11"/>
      <c r="Q173" s="11"/>
      <c r="R173" s="11"/>
      <c r="S173" s="24" t="s">
        <v>30</v>
      </c>
      <c r="T173" s="24"/>
      <c r="U173" s="24" t="str">
        <f t="shared" si="3"/>
        <v/>
      </c>
      <c r="V173" s="24"/>
    </row>
    <row r="174" spans="1:22" ht="127.5">
      <c r="A174" s="10" t="s">
        <v>833</v>
      </c>
      <c r="B174" s="11" t="str">
        <f>IFERROR(VLOOKUP(A174,Systems!A:B,2,FALSE),"Various")</f>
        <v>Fuel supply system</v>
      </c>
      <c r="C174" s="11" t="s">
        <v>1166</v>
      </c>
      <c r="D174" s="11"/>
      <c r="E174" s="11"/>
      <c r="F174" s="24" t="s">
        <v>1412</v>
      </c>
      <c r="G174" s="38"/>
      <c r="H174" s="11" t="s">
        <v>1539</v>
      </c>
      <c r="I174" s="11"/>
      <c r="J174" s="11"/>
      <c r="K174" s="11"/>
      <c r="L174" s="11"/>
      <c r="M174" s="11"/>
      <c r="N174" s="11"/>
      <c r="O174" s="11"/>
      <c r="P174" s="11"/>
      <c r="Q174" s="11"/>
      <c r="R174" s="11"/>
      <c r="S174" s="24" t="s">
        <v>30</v>
      </c>
      <c r="T174" s="24" t="s">
        <v>30</v>
      </c>
      <c r="U174" s="24" t="str">
        <f t="shared" si="3"/>
        <v/>
      </c>
      <c r="V174" s="24"/>
    </row>
    <row r="175" spans="1:22" ht="114.75">
      <c r="A175" s="10" t="s">
        <v>833</v>
      </c>
      <c r="B175" s="11" t="str">
        <f>IFERROR(VLOOKUP(A175,Systems!A:B,2,FALSE),"Various")</f>
        <v>Fuel supply system</v>
      </c>
      <c r="C175" s="11" t="s">
        <v>1166</v>
      </c>
      <c r="D175" s="11"/>
      <c r="E175" s="11"/>
      <c r="F175" s="24" t="s">
        <v>1412</v>
      </c>
      <c r="G175" s="38"/>
      <c r="H175" s="11" t="s">
        <v>1540</v>
      </c>
      <c r="I175" s="11"/>
      <c r="J175" s="11"/>
      <c r="K175" s="11"/>
      <c r="L175" s="11"/>
      <c r="M175" s="11"/>
      <c r="N175" s="11"/>
      <c r="O175" s="11"/>
      <c r="P175" s="11"/>
      <c r="Q175" s="11"/>
      <c r="R175" s="11"/>
      <c r="S175" s="24" t="s">
        <v>30</v>
      </c>
      <c r="T175" s="24" t="s">
        <v>30</v>
      </c>
      <c r="U175" s="24" t="str">
        <f t="shared" si="3"/>
        <v/>
      </c>
      <c r="V175" s="24"/>
    </row>
    <row r="176" spans="1:22" ht="25.5">
      <c r="A176" s="10" t="s">
        <v>833</v>
      </c>
      <c r="B176" s="11" t="str">
        <f>IFERROR(VLOOKUP(A176,Systems!A:B,2,FALSE),"Various")</f>
        <v>Fuel supply system</v>
      </c>
      <c r="C176" s="11" t="s">
        <v>1166</v>
      </c>
      <c r="D176" s="11"/>
      <c r="E176" s="11"/>
      <c r="F176" s="24" t="s">
        <v>1412</v>
      </c>
      <c r="G176" s="38"/>
      <c r="H176" s="11" t="s">
        <v>1541</v>
      </c>
      <c r="I176" s="11"/>
      <c r="J176" s="11"/>
      <c r="K176" s="11"/>
      <c r="L176" s="11"/>
      <c r="M176" s="11"/>
      <c r="N176" s="11"/>
      <c r="O176" s="11"/>
      <c r="P176" s="11"/>
      <c r="Q176" s="11"/>
      <c r="R176" s="11"/>
      <c r="S176" s="24" t="s">
        <v>30</v>
      </c>
      <c r="T176" s="24" t="s">
        <v>30</v>
      </c>
      <c r="U176" s="24" t="str">
        <f t="shared" si="3"/>
        <v/>
      </c>
      <c r="V176" s="24"/>
    </row>
    <row r="177" spans="1:22" ht="127.5">
      <c r="A177" s="10" t="s">
        <v>833</v>
      </c>
      <c r="B177" s="11" t="str">
        <f>IFERROR(VLOOKUP(A177,Systems!A:B,2,FALSE),"Various")</f>
        <v>Fuel supply system</v>
      </c>
      <c r="C177" s="11" t="s">
        <v>1167</v>
      </c>
      <c r="D177" s="11"/>
      <c r="E177" s="11"/>
      <c r="F177" s="24" t="s">
        <v>1412</v>
      </c>
      <c r="G177" s="38"/>
      <c r="H177" s="11" t="s">
        <v>1542</v>
      </c>
      <c r="I177" s="11"/>
      <c r="J177" s="11"/>
      <c r="K177" s="11"/>
      <c r="L177" s="11"/>
      <c r="M177" s="11"/>
      <c r="N177" s="11"/>
      <c r="O177" s="11"/>
      <c r="P177" s="11"/>
      <c r="Q177" s="11"/>
      <c r="R177" s="11"/>
      <c r="S177" s="24" t="s">
        <v>30</v>
      </c>
      <c r="T177" s="24"/>
      <c r="U177" s="24" t="str">
        <f t="shared" si="3"/>
        <v/>
      </c>
      <c r="V177" s="24"/>
    </row>
    <row r="178" spans="1:22" ht="76.5">
      <c r="A178" s="10" t="s">
        <v>833</v>
      </c>
      <c r="B178" s="11" t="str">
        <f>IFERROR(VLOOKUP(A178,Systems!A:B,2,FALSE),"Various")</f>
        <v>Fuel supply system</v>
      </c>
      <c r="C178" s="11" t="s">
        <v>1168</v>
      </c>
      <c r="D178" s="11"/>
      <c r="E178" s="11"/>
      <c r="F178" s="24" t="s">
        <v>1412</v>
      </c>
      <c r="G178" s="38"/>
      <c r="H178" s="11" t="s">
        <v>1164</v>
      </c>
      <c r="I178" s="11"/>
      <c r="J178" s="11"/>
      <c r="K178" s="11"/>
      <c r="L178" s="11"/>
      <c r="M178" s="11"/>
      <c r="N178" s="11"/>
      <c r="O178" s="11"/>
      <c r="P178" s="11"/>
      <c r="Q178" s="11"/>
      <c r="R178" s="11"/>
      <c r="S178" s="24" t="s">
        <v>30</v>
      </c>
      <c r="T178" s="24" t="s">
        <v>30</v>
      </c>
      <c r="U178" s="24" t="str">
        <f t="shared" si="3"/>
        <v/>
      </c>
      <c r="V178" s="24"/>
    </row>
    <row r="179" spans="1:22" ht="38.25">
      <c r="A179" s="10" t="s">
        <v>833</v>
      </c>
      <c r="B179" s="11" t="str">
        <f>IFERROR(VLOOKUP(A179,Systems!A:B,2,FALSE),"Various")</f>
        <v>Fuel supply system</v>
      </c>
      <c r="C179" s="11" t="s">
        <v>1170</v>
      </c>
      <c r="D179" s="11"/>
      <c r="E179" s="11"/>
      <c r="F179" s="24" t="s">
        <v>1412</v>
      </c>
      <c r="G179" s="38"/>
      <c r="H179" s="11" t="s">
        <v>1543</v>
      </c>
      <c r="I179" s="11"/>
      <c r="J179" s="11"/>
      <c r="K179" s="11"/>
      <c r="L179" s="11"/>
      <c r="M179" s="11"/>
      <c r="N179" s="11"/>
      <c r="O179" s="11"/>
      <c r="P179" s="11"/>
      <c r="Q179" s="11"/>
      <c r="R179" s="11"/>
      <c r="S179" s="24" t="s">
        <v>30</v>
      </c>
      <c r="T179" s="24" t="s">
        <v>30</v>
      </c>
      <c r="U179" s="24" t="str">
        <f t="shared" si="3"/>
        <v/>
      </c>
      <c r="V179" s="24"/>
    </row>
    <row r="180" spans="1:22" ht="89.25">
      <c r="A180" s="10" t="s">
        <v>833</v>
      </c>
      <c r="B180" s="11" t="str">
        <f>IFERROR(VLOOKUP(A180,Systems!A:B,2,FALSE),"Various")</f>
        <v>Fuel supply system</v>
      </c>
      <c r="C180" s="11" t="s">
        <v>1169</v>
      </c>
      <c r="D180" s="11"/>
      <c r="E180" s="11"/>
      <c r="F180" s="24" t="s">
        <v>1412</v>
      </c>
      <c r="G180" s="38"/>
      <c r="H180" s="11" t="s">
        <v>1544</v>
      </c>
      <c r="I180" s="11"/>
      <c r="J180" s="11"/>
      <c r="K180" s="11"/>
      <c r="L180" s="11"/>
      <c r="M180" s="11"/>
      <c r="N180" s="11"/>
      <c r="O180" s="11"/>
      <c r="P180" s="11"/>
      <c r="Q180" s="11"/>
      <c r="R180" s="11"/>
      <c r="S180" s="24"/>
      <c r="T180" s="24"/>
      <c r="U180" s="24" t="str">
        <f t="shared" si="3"/>
        <v/>
      </c>
      <c r="V180" s="24"/>
    </row>
    <row r="181" spans="1:22" ht="114.75">
      <c r="A181" s="10" t="s">
        <v>833</v>
      </c>
      <c r="B181" s="11" t="str">
        <f>IFERROR(VLOOKUP(A181,Systems!A:B,2,FALSE),"Various")</f>
        <v>Fuel supply system</v>
      </c>
      <c r="C181" s="11" t="s">
        <v>1171</v>
      </c>
      <c r="D181" s="11"/>
      <c r="E181" s="11"/>
      <c r="F181" s="24" t="s">
        <v>1412</v>
      </c>
      <c r="G181" s="38"/>
      <c r="H181" s="11" t="s">
        <v>1757</v>
      </c>
      <c r="I181" s="11"/>
      <c r="J181" s="11"/>
      <c r="K181" s="11"/>
      <c r="L181" s="11"/>
      <c r="M181" s="11"/>
      <c r="N181" s="11"/>
      <c r="O181" s="11"/>
      <c r="P181" s="11"/>
      <c r="Q181" s="11"/>
      <c r="R181" s="11"/>
      <c r="S181" s="24" t="s">
        <v>30</v>
      </c>
      <c r="T181" s="24"/>
      <c r="U181" s="24" t="str">
        <f t="shared" ref="U181:U206" si="4">IF(OR(NOT(H181=""),NOT(M181="")),"","x")</f>
        <v/>
      </c>
      <c r="V181" s="24"/>
    </row>
    <row r="182" spans="1:22" ht="38.25">
      <c r="A182" s="10" t="s">
        <v>833</v>
      </c>
      <c r="B182" s="11" t="str">
        <f>IFERROR(VLOOKUP(A182,Systems!A:B,2,FALSE),"Various")</f>
        <v>Fuel supply system</v>
      </c>
      <c r="C182" s="11" t="s">
        <v>1172</v>
      </c>
      <c r="D182" s="11"/>
      <c r="E182" s="11"/>
      <c r="F182" s="24" t="s">
        <v>1412</v>
      </c>
      <c r="G182" s="38"/>
      <c r="H182" s="11" t="s">
        <v>1545</v>
      </c>
      <c r="I182" s="11"/>
      <c r="J182" s="11"/>
      <c r="K182" s="11"/>
      <c r="L182" s="11"/>
      <c r="M182" s="11"/>
      <c r="N182" s="11"/>
      <c r="O182" s="11"/>
      <c r="P182" s="11"/>
      <c r="Q182" s="11"/>
      <c r="R182" s="11"/>
      <c r="S182" s="24"/>
      <c r="T182" s="24"/>
      <c r="U182" s="24" t="str">
        <f t="shared" si="4"/>
        <v/>
      </c>
      <c r="V182" s="24"/>
    </row>
    <row r="183" spans="1:22" ht="89.25">
      <c r="A183" s="10" t="s">
        <v>833</v>
      </c>
      <c r="B183" s="11" t="str">
        <f>IFERROR(VLOOKUP(A183,Systems!A:B,2,FALSE),"Various")</f>
        <v>Fuel supply system</v>
      </c>
      <c r="C183" s="11" t="s">
        <v>1173</v>
      </c>
      <c r="D183" s="11"/>
      <c r="E183" s="11"/>
      <c r="F183" s="24" t="s">
        <v>1412</v>
      </c>
      <c r="G183" s="38"/>
      <c r="H183" s="11" t="s">
        <v>1411</v>
      </c>
      <c r="I183" s="11"/>
      <c r="J183" s="11"/>
      <c r="K183" s="11"/>
      <c r="L183" s="11"/>
      <c r="M183" s="11"/>
      <c r="N183" s="11"/>
      <c r="O183" s="11"/>
      <c r="P183" s="11"/>
      <c r="Q183" s="11"/>
      <c r="R183" s="11"/>
      <c r="S183" s="24"/>
      <c r="T183" s="24"/>
      <c r="U183" s="24" t="str">
        <f t="shared" si="4"/>
        <v/>
      </c>
      <c r="V183" s="24"/>
    </row>
    <row r="184" spans="1:22" ht="38.25">
      <c r="A184" s="10" t="s">
        <v>179</v>
      </c>
      <c r="B184" s="11" t="str">
        <f>IFERROR(VLOOKUP(A184,Systems!A:B,2,FALSE),"Various")</f>
        <v>Lubrication system</v>
      </c>
      <c r="C184" s="11" t="s">
        <v>1247</v>
      </c>
      <c r="D184" s="11"/>
      <c r="E184" s="11"/>
      <c r="F184" s="24" t="s">
        <v>1412</v>
      </c>
      <c r="G184" s="38"/>
      <c r="H184" s="11" t="s">
        <v>1306</v>
      </c>
      <c r="I184" s="11"/>
      <c r="J184" s="11"/>
      <c r="K184" s="11"/>
      <c r="L184" s="11"/>
      <c r="M184" s="11"/>
      <c r="N184" s="11"/>
      <c r="O184" s="11"/>
      <c r="P184" s="11"/>
      <c r="Q184" s="11"/>
      <c r="R184" s="11"/>
      <c r="S184" s="24"/>
      <c r="T184" s="24"/>
      <c r="U184" s="24" t="str">
        <f t="shared" si="4"/>
        <v/>
      </c>
      <c r="V184" s="24"/>
    </row>
    <row r="185" spans="1:22" ht="38.25">
      <c r="A185" s="10" t="s">
        <v>1248</v>
      </c>
      <c r="B185" s="11" t="str">
        <f>IFERROR(VLOOKUP(A185,Systems!A:B,2,FALSE),"Various")</f>
        <v>Various</v>
      </c>
      <c r="C185" s="11" t="s">
        <v>1246</v>
      </c>
      <c r="D185" s="11"/>
      <c r="E185" s="11"/>
      <c r="F185" s="24" t="s">
        <v>1412</v>
      </c>
      <c r="G185" s="38"/>
      <c r="H185" s="11" t="s">
        <v>1307</v>
      </c>
      <c r="I185" s="11"/>
      <c r="J185" s="11"/>
      <c r="K185" s="11"/>
      <c r="L185" s="11"/>
      <c r="M185" s="11"/>
      <c r="N185" s="11"/>
      <c r="O185" s="11"/>
      <c r="P185" s="11"/>
      <c r="Q185" s="11"/>
      <c r="R185" s="11"/>
      <c r="S185" s="24"/>
      <c r="T185" s="24"/>
      <c r="U185" s="24" t="str">
        <f t="shared" si="4"/>
        <v/>
      </c>
      <c r="V185" s="24"/>
    </row>
    <row r="186" spans="1:22" ht="127.5">
      <c r="A186" s="10" t="s">
        <v>179</v>
      </c>
      <c r="B186" s="11" t="str">
        <f>IFERROR(VLOOKUP(A186,Systems!A:B,2,FALSE),"Various")</f>
        <v>Lubrication system</v>
      </c>
      <c r="C186" s="11" t="s">
        <v>1251</v>
      </c>
      <c r="D186" s="11"/>
      <c r="E186" s="11"/>
      <c r="F186" s="24" t="s">
        <v>1412</v>
      </c>
      <c r="G186" s="38"/>
      <c r="H186" s="11" t="s">
        <v>1304</v>
      </c>
      <c r="I186" s="11"/>
      <c r="J186" s="11"/>
      <c r="K186" s="11"/>
      <c r="L186" s="11"/>
      <c r="M186" s="11"/>
      <c r="N186" s="11"/>
      <c r="O186" s="11"/>
      <c r="P186" s="11"/>
      <c r="Q186" s="11"/>
      <c r="R186" s="11"/>
      <c r="S186" s="24"/>
      <c r="T186" s="24"/>
      <c r="U186" s="24" t="str">
        <f t="shared" si="4"/>
        <v/>
      </c>
      <c r="V186" s="24"/>
    </row>
    <row r="187" spans="1:22" ht="63.75">
      <c r="A187" s="10" t="s">
        <v>179</v>
      </c>
      <c r="B187" s="11" t="str">
        <f>IFERROR(VLOOKUP(A187,Systems!A:B,2,FALSE),"Various")</f>
        <v>Lubrication system</v>
      </c>
      <c r="C187" s="11" t="s">
        <v>1250</v>
      </c>
      <c r="D187" s="11"/>
      <c r="E187" s="11"/>
      <c r="F187" s="24" t="s">
        <v>1412</v>
      </c>
      <c r="G187" s="38"/>
      <c r="H187" s="11" t="s">
        <v>1249</v>
      </c>
      <c r="I187" s="11"/>
      <c r="J187" s="11"/>
      <c r="K187" s="11"/>
      <c r="L187" s="11"/>
      <c r="M187" s="11"/>
      <c r="N187" s="11"/>
      <c r="O187" s="11"/>
      <c r="P187" s="11"/>
      <c r="Q187" s="11"/>
      <c r="R187" s="11"/>
      <c r="S187" s="24" t="s">
        <v>30</v>
      </c>
      <c r="T187" s="24"/>
      <c r="U187" s="24" t="str">
        <f t="shared" si="4"/>
        <v/>
      </c>
      <c r="V187" s="24"/>
    </row>
    <row r="188" spans="1:22" ht="114.75">
      <c r="A188" s="10" t="s">
        <v>179</v>
      </c>
      <c r="B188" s="11" t="str">
        <f>IFERROR(VLOOKUP(A188,Systems!A:B,2,FALSE),"Various")</f>
        <v>Lubrication system</v>
      </c>
      <c r="C188" s="11" t="s">
        <v>1245</v>
      </c>
      <c r="D188" s="11"/>
      <c r="E188" s="11"/>
      <c r="F188" s="24" t="s">
        <v>1412</v>
      </c>
      <c r="G188" s="38"/>
      <c r="H188" s="11" t="s">
        <v>1942</v>
      </c>
      <c r="I188" s="11"/>
      <c r="J188" s="11"/>
      <c r="K188" s="11"/>
      <c r="L188" s="11"/>
      <c r="M188" s="11"/>
      <c r="N188" s="11"/>
      <c r="O188" s="11"/>
      <c r="P188" s="11"/>
      <c r="Q188" s="11"/>
      <c r="R188" s="11"/>
      <c r="S188" s="24" t="s">
        <v>30</v>
      </c>
      <c r="T188" s="24"/>
      <c r="U188" s="24" t="str">
        <f t="shared" si="4"/>
        <v/>
      </c>
      <c r="V188" s="24"/>
    </row>
    <row r="189" spans="1:22" ht="25.5">
      <c r="A189" s="10" t="s">
        <v>179</v>
      </c>
      <c r="B189" s="11" t="str">
        <f>IFERROR(VLOOKUP(A189,Systems!A:B,2,FALSE),"Various")</f>
        <v>Lubrication system</v>
      </c>
      <c r="C189" s="11" t="s">
        <v>1245</v>
      </c>
      <c r="D189" s="11"/>
      <c r="E189" s="11"/>
      <c r="F189" s="24" t="s">
        <v>1412</v>
      </c>
      <c r="G189" s="38"/>
      <c r="H189" s="11" t="s">
        <v>1943</v>
      </c>
      <c r="I189" s="11"/>
      <c r="J189" s="11"/>
      <c r="K189" s="11"/>
      <c r="L189" s="11"/>
      <c r="M189" s="11"/>
      <c r="N189" s="11"/>
      <c r="O189" s="11"/>
      <c r="P189" s="11"/>
      <c r="Q189" s="11"/>
      <c r="R189" s="11"/>
      <c r="S189" s="24" t="s">
        <v>30</v>
      </c>
      <c r="T189" s="24"/>
      <c r="U189" s="24" t="str">
        <f t="shared" si="4"/>
        <v/>
      </c>
      <c r="V189" s="24"/>
    </row>
    <row r="190" spans="1:22" ht="38.25">
      <c r="A190" s="10" t="s">
        <v>179</v>
      </c>
      <c r="B190" s="11" t="str">
        <f>IFERROR(VLOOKUP(A190,Systems!A:B,2,FALSE),"Various")</f>
        <v>Lubrication system</v>
      </c>
      <c r="C190" s="11" t="s">
        <v>1245</v>
      </c>
      <c r="D190" s="11"/>
      <c r="E190" s="11"/>
      <c r="F190" s="24" t="s">
        <v>1412</v>
      </c>
      <c r="G190" s="38"/>
      <c r="H190" s="11" t="s">
        <v>1944</v>
      </c>
      <c r="I190" s="11"/>
      <c r="J190" s="11"/>
      <c r="K190" s="11"/>
      <c r="L190" s="11"/>
      <c r="M190" s="11"/>
      <c r="N190" s="11"/>
      <c r="O190" s="11"/>
      <c r="P190" s="11"/>
      <c r="Q190" s="11"/>
      <c r="R190" s="11"/>
      <c r="S190" s="24"/>
      <c r="T190" s="24"/>
      <c r="U190" s="24" t="str">
        <f t="shared" si="4"/>
        <v/>
      </c>
      <c r="V190" s="24"/>
    </row>
    <row r="191" spans="1:22" ht="102">
      <c r="A191" s="10" t="s">
        <v>179</v>
      </c>
      <c r="B191" s="11" t="str">
        <f>IFERROR(VLOOKUP(A191,Systems!A:B,2,FALSE),"Various")</f>
        <v>Lubrication system</v>
      </c>
      <c r="C191" s="11" t="s">
        <v>1245</v>
      </c>
      <c r="D191" s="11"/>
      <c r="E191" s="11"/>
      <c r="F191" s="24" t="s">
        <v>1412</v>
      </c>
      <c r="G191" s="38"/>
      <c r="H191" s="11" t="s">
        <v>1945</v>
      </c>
      <c r="I191" s="11"/>
      <c r="J191" s="11"/>
      <c r="K191" s="11"/>
      <c r="L191" s="11"/>
      <c r="M191" s="11"/>
      <c r="N191" s="11"/>
      <c r="O191" s="11"/>
      <c r="P191" s="11"/>
      <c r="Q191" s="11"/>
      <c r="R191" s="11"/>
      <c r="S191" s="24" t="s">
        <v>30</v>
      </c>
      <c r="T191" s="24"/>
      <c r="U191" s="24" t="str">
        <f t="shared" si="4"/>
        <v/>
      </c>
      <c r="V191" s="24"/>
    </row>
    <row r="192" spans="1:22" ht="165.75">
      <c r="A192" s="10" t="s">
        <v>179</v>
      </c>
      <c r="B192" s="11" t="str">
        <f>IFERROR(VLOOKUP(A192,Systems!A:B,2,FALSE),"Various")</f>
        <v>Lubrication system</v>
      </c>
      <c r="C192" s="11" t="s">
        <v>1245</v>
      </c>
      <c r="D192" s="11"/>
      <c r="E192" s="11"/>
      <c r="F192" s="24" t="s">
        <v>1412</v>
      </c>
      <c r="G192" s="38"/>
      <c r="H192" s="11" t="s">
        <v>1946</v>
      </c>
      <c r="I192" s="11"/>
      <c r="J192" s="11"/>
      <c r="K192" s="11"/>
      <c r="L192" s="11"/>
      <c r="M192" s="11"/>
      <c r="N192" s="11"/>
      <c r="O192" s="11"/>
      <c r="P192" s="11"/>
      <c r="Q192" s="11"/>
      <c r="R192" s="11"/>
      <c r="S192" s="24"/>
      <c r="T192" s="24"/>
      <c r="U192" s="24" t="str">
        <f t="shared" si="4"/>
        <v/>
      </c>
      <c r="V192" s="24"/>
    </row>
    <row r="193" spans="1:22" ht="127.5">
      <c r="A193" s="10" t="s">
        <v>1229</v>
      </c>
      <c r="B193" s="11" t="str">
        <f>IFERROR(VLOOKUP(A193,Systems!A:B,2,FALSE),"Various")</f>
        <v>Remote controlled valves</v>
      </c>
      <c r="C193" s="11" t="s">
        <v>1245</v>
      </c>
      <c r="D193" s="11"/>
      <c r="E193" s="11"/>
      <c r="F193" s="24" t="s">
        <v>1412</v>
      </c>
      <c r="G193" s="38"/>
      <c r="H193" s="11" t="s">
        <v>1299</v>
      </c>
      <c r="I193" s="11"/>
      <c r="J193" s="11"/>
      <c r="K193" s="11"/>
      <c r="L193" s="11"/>
      <c r="M193" s="11"/>
      <c r="N193" s="11"/>
      <c r="O193" s="11"/>
      <c r="P193" s="11"/>
      <c r="Q193" s="11"/>
      <c r="R193" s="11"/>
      <c r="S193" s="24"/>
      <c r="T193" s="24"/>
      <c r="U193" s="24" t="str">
        <f t="shared" si="4"/>
        <v/>
      </c>
      <c r="V193" s="24"/>
    </row>
    <row r="194" spans="1:22" ht="38.25">
      <c r="A194" s="10" t="s">
        <v>179</v>
      </c>
      <c r="B194" s="11" t="str">
        <f>IFERROR(VLOOKUP(A194,Systems!A:B,2,FALSE),"Various")</f>
        <v>Lubrication system</v>
      </c>
      <c r="C194" s="11" t="s">
        <v>1245</v>
      </c>
      <c r="D194" s="11"/>
      <c r="E194" s="11"/>
      <c r="F194" s="24" t="s">
        <v>1412</v>
      </c>
      <c r="G194" s="38"/>
      <c r="H194" s="11" t="s">
        <v>1300</v>
      </c>
      <c r="I194" s="11"/>
      <c r="J194" s="11"/>
      <c r="K194" s="11"/>
      <c r="L194" s="11"/>
      <c r="M194" s="11"/>
      <c r="N194" s="11"/>
      <c r="O194" s="11"/>
      <c r="P194" s="11"/>
      <c r="Q194" s="11"/>
      <c r="R194" s="11"/>
      <c r="S194" s="24"/>
      <c r="T194" s="24"/>
      <c r="U194" s="24" t="str">
        <f t="shared" si="4"/>
        <v/>
      </c>
      <c r="V194" s="24"/>
    </row>
    <row r="195" spans="1:22" ht="51">
      <c r="A195" s="10" t="s">
        <v>242</v>
      </c>
      <c r="B195" s="11" t="str">
        <f>IFERROR(VLOOKUP(A195,Systems!A:B,2,FALSE),"Various")</f>
        <v>Sounding and de-aeration</v>
      </c>
      <c r="C195" s="11" t="s">
        <v>1245</v>
      </c>
      <c r="D195" s="11"/>
      <c r="E195" s="11"/>
      <c r="F195" s="24" t="s">
        <v>1412</v>
      </c>
      <c r="G195" s="38"/>
      <c r="H195" s="11" t="s">
        <v>1301</v>
      </c>
      <c r="I195" s="11"/>
      <c r="J195" s="11"/>
      <c r="K195" s="11"/>
      <c r="L195" s="11"/>
      <c r="M195" s="11"/>
      <c r="N195" s="11"/>
      <c r="O195" s="11"/>
      <c r="P195" s="11"/>
      <c r="Q195" s="11"/>
      <c r="R195" s="11"/>
      <c r="S195" s="24" t="s">
        <v>30</v>
      </c>
      <c r="T195" s="24"/>
      <c r="U195" s="24" t="str">
        <f t="shared" si="4"/>
        <v/>
      </c>
      <c r="V195" s="24"/>
    </row>
    <row r="196" spans="1:22" ht="102">
      <c r="A196" s="10" t="s">
        <v>242</v>
      </c>
      <c r="B196" s="11" t="str">
        <f>IFERROR(VLOOKUP(A196,Systems!A:B,2,FALSE),"Various")</f>
        <v>Sounding and de-aeration</v>
      </c>
      <c r="C196" s="11" t="s">
        <v>1245</v>
      </c>
      <c r="D196" s="11"/>
      <c r="E196" s="11"/>
      <c r="F196" s="24" t="s">
        <v>1412</v>
      </c>
      <c r="G196" s="38"/>
      <c r="H196" s="11" t="s">
        <v>1302</v>
      </c>
      <c r="I196" s="11"/>
      <c r="J196" s="11"/>
      <c r="K196" s="11"/>
      <c r="L196" s="11"/>
      <c r="M196" s="11"/>
      <c r="N196" s="11"/>
      <c r="O196" s="11"/>
      <c r="P196" s="11"/>
      <c r="Q196" s="11"/>
      <c r="R196" s="11"/>
      <c r="S196" s="24" t="s">
        <v>30</v>
      </c>
      <c r="T196" s="24"/>
      <c r="U196" s="24" t="str">
        <f t="shared" si="4"/>
        <v/>
      </c>
      <c r="V196" s="24"/>
    </row>
    <row r="197" spans="1:22" ht="178.5">
      <c r="A197" s="10" t="s">
        <v>179</v>
      </c>
      <c r="B197" s="11" t="str">
        <f>IFERROR(VLOOKUP(A197,Systems!A:B,2,FALSE),"Various")</f>
        <v>Lubrication system</v>
      </c>
      <c r="C197" s="11" t="s">
        <v>1245</v>
      </c>
      <c r="D197" s="11"/>
      <c r="E197" s="11"/>
      <c r="F197" s="24" t="s">
        <v>1412</v>
      </c>
      <c r="G197" s="38"/>
      <c r="H197" s="11" t="s">
        <v>1303</v>
      </c>
      <c r="I197" s="11"/>
      <c r="J197" s="11"/>
      <c r="K197" s="11"/>
      <c r="L197" s="11"/>
      <c r="M197" s="11"/>
      <c r="N197" s="11"/>
      <c r="O197" s="11"/>
      <c r="P197" s="11"/>
      <c r="Q197" s="11"/>
      <c r="R197" s="11"/>
      <c r="S197" s="24" t="s">
        <v>30</v>
      </c>
      <c r="T197" s="24"/>
      <c r="U197" s="24" t="str">
        <f t="shared" si="4"/>
        <v/>
      </c>
      <c r="V197" s="24"/>
    </row>
    <row r="198" spans="1:22" ht="76.5">
      <c r="A198" s="10" t="s">
        <v>179</v>
      </c>
      <c r="B198" s="11" t="str">
        <f>IFERROR(VLOOKUP(A198,Systems!A:B,2,FALSE),"Various")</f>
        <v>Lubrication system</v>
      </c>
      <c r="C198" s="11" t="s">
        <v>1938</v>
      </c>
      <c r="D198" s="11"/>
      <c r="E198" s="11"/>
      <c r="F198" s="24" t="s">
        <v>1412</v>
      </c>
      <c r="G198" s="38"/>
      <c r="H198" s="11" t="s">
        <v>1939</v>
      </c>
      <c r="I198" s="11"/>
      <c r="J198" s="11"/>
      <c r="K198" s="11"/>
      <c r="L198" s="11"/>
      <c r="M198" s="11"/>
      <c r="N198" s="11"/>
      <c r="O198" s="11"/>
      <c r="P198" s="11"/>
      <c r="Q198" s="11"/>
      <c r="R198" s="11"/>
      <c r="S198" s="24"/>
      <c r="T198" s="24"/>
      <c r="U198" s="24" t="str">
        <f t="shared" si="4"/>
        <v/>
      </c>
      <c r="V198" s="24"/>
    </row>
    <row r="199" spans="1:22" ht="38.25">
      <c r="A199" s="10" t="s">
        <v>179</v>
      </c>
      <c r="B199" s="11" t="str">
        <f>IFERROR(VLOOKUP(A199,Systems!A:B,2,FALSE),"Various")</f>
        <v>Lubrication system</v>
      </c>
      <c r="C199" s="11" t="s">
        <v>1938</v>
      </c>
      <c r="D199" s="11"/>
      <c r="E199" s="11"/>
      <c r="F199" s="24" t="s">
        <v>1412</v>
      </c>
      <c r="G199" s="38"/>
      <c r="H199" s="11" t="s">
        <v>1940</v>
      </c>
      <c r="I199" s="11"/>
      <c r="J199" s="11"/>
      <c r="K199" s="11"/>
      <c r="L199" s="11"/>
      <c r="M199" s="11"/>
      <c r="N199" s="11"/>
      <c r="O199" s="11"/>
      <c r="P199" s="11"/>
      <c r="Q199" s="11"/>
      <c r="R199" s="11"/>
      <c r="S199" s="24" t="s">
        <v>30</v>
      </c>
      <c r="T199" s="24"/>
      <c r="U199" s="24" t="str">
        <f t="shared" si="4"/>
        <v/>
      </c>
      <c r="V199" s="24"/>
    </row>
    <row r="200" spans="1:22" ht="114.75">
      <c r="A200" s="10" t="s">
        <v>179</v>
      </c>
      <c r="B200" s="11" t="str">
        <f>IFERROR(VLOOKUP(A200,Systems!A:B,2,FALSE),"Various")</f>
        <v>Lubrication system</v>
      </c>
      <c r="C200" s="11" t="s">
        <v>1938</v>
      </c>
      <c r="D200" s="11"/>
      <c r="E200" s="11"/>
      <c r="F200" s="24" t="s">
        <v>1412</v>
      </c>
      <c r="G200" s="38"/>
      <c r="H200" s="11" t="s">
        <v>1941</v>
      </c>
      <c r="I200" s="11"/>
      <c r="J200" s="11"/>
      <c r="K200" s="11"/>
      <c r="L200" s="11"/>
      <c r="M200" s="11"/>
      <c r="N200" s="11"/>
      <c r="O200" s="11"/>
      <c r="P200" s="11"/>
      <c r="Q200" s="11"/>
      <c r="R200" s="11"/>
      <c r="S200" s="24" t="s">
        <v>30</v>
      </c>
      <c r="T200" s="24"/>
      <c r="U200" s="24" t="str">
        <f t="shared" si="4"/>
        <v/>
      </c>
      <c r="V200" s="24"/>
    </row>
    <row r="201" spans="1:22" ht="89.25">
      <c r="A201" s="10" t="s">
        <v>179</v>
      </c>
      <c r="B201" s="11" t="str">
        <f>IFERROR(VLOOKUP(A201,Systems!A:B,2,FALSE),"Various")</f>
        <v>Lubrication system</v>
      </c>
      <c r="C201" s="11" t="s">
        <v>473</v>
      </c>
      <c r="D201" s="11"/>
      <c r="E201" s="11"/>
      <c r="F201" s="24" t="s">
        <v>1412</v>
      </c>
      <c r="G201" s="38"/>
      <c r="H201" s="11" t="s">
        <v>1308</v>
      </c>
      <c r="I201" s="11"/>
      <c r="J201" s="11"/>
      <c r="K201" s="11"/>
      <c r="L201" s="11"/>
      <c r="M201" s="11"/>
      <c r="N201" s="11"/>
      <c r="O201" s="11"/>
      <c r="P201" s="11"/>
      <c r="Q201" s="11"/>
      <c r="R201" s="11"/>
      <c r="S201" s="24" t="s">
        <v>30</v>
      </c>
      <c r="T201" s="24"/>
      <c r="U201" s="24" t="str">
        <f t="shared" si="4"/>
        <v/>
      </c>
      <c r="V201" s="24"/>
    </row>
    <row r="202" spans="1:22" ht="51">
      <c r="A202" s="10" t="s">
        <v>242</v>
      </c>
      <c r="B202" s="11" t="str">
        <f>IFERROR(VLOOKUP(A202,Systems!A:B,2,FALSE),"Various")</f>
        <v>Sounding and de-aeration</v>
      </c>
      <c r="C202" s="11" t="s">
        <v>1252</v>
      </c>
      <c r="D202" s="11"/>
      <c r="E202" s="11"/>
      <c r="F202" s="24" t="s">
        <v>1412</v>
      </c>
      <c r="G202" s="38"/>
      <c r="H202" s="11" t="s">
        <v>1309</v>
      </c>
      <c r="I202" s="11"/>
      <c r="J202" s="11"/>
      <c r="K202" s="11"/>
      <c r="L202" s="11"/>
      <c r="M202" s="11"/>
      <c r="N202" s="11"/>
      <c r="O202" s="11"/>
      <c r="P202" s="11"/>
      <c r="Q202" s="11"/>
      <c r="R202" s="11"/>
      <c r="S202" s="24" t="s">
        <v>30</v>
      </c>
      <c r="T202" s="24"/>
      <c r="U202" s="24" t="str">
        <f t="shared" si="4"/>
        <v/>
      </c>
      <c r="V202" s="24"/>
    </row>
    <row r="203" spans="1:22" ht="127.5">
      <c r="A203" s="10" t="s">
        <v>242</v>
      </c>
      <c r="B203" s="11" t="str">
        <f>IFERROR(VLOOKUP(A203,Systems!A:B,2,FALSE),"Various")</f>
        <v>Sounding and de-aeration</v>
      </c>
      <c r="C203" s="11" t="s">
        <v>1252</v>
      </c>
      <c r="D203" s="11"/>
      <c r="E203" s="11"/>
      <c r="F203" s="24" t="s">
        <v>1412</v>
      </c>
      <c r="G203" s="38"/>
      <c r="H203" s="11" t="s">
        <v>1310</v>
      </c>
      <c r="I203" s="11"/>
      <c r="J203" s="11"/>
      <c r="K203" s="11"/>
      <c r="L203" s="11"/>
      <c r="M203" s="11"/>
      <c r="N203" s="11"/>
      <c r="O203" s="11"/>
      <c r="P203" s="11"/>
      <c r="Q203" s="11"/>
      <c r="R203" s="11"/>
      <c r="S203" s="24" t="s">
        <v>30</v>
      </c>
      <c r="T203" s="24"/>
      <c r="U203" s="24" t="str">
        <f t="shared" si="4"/>
        <v/>
      </c>
      <c r="V203" s="24"/>
    </row>
    <row r="204" spans="1:22" ht="306">
      <c r="A204" s="10" t="s">
        <v>813</v>
      </c>
      <c r="B204" s="11" t="str">
        <f>IFERROR(VLOOKUP(A204,Systems!A:B,2,FALSE),"Various")</f>
        <v>Compressed air system</v>
      </c>
      <c r="C204" s="11" t="s">
        <v>1110</v>
      </c>
      <c r="D204" s="11"/>
      <c r="E204" s="11"/>
      <c r="F204" s="24" t="s">
        <v>1412</v>
      </c>
      <c r="G204" s="38"/>
      <c r="H204" s="11" t="s">
        <v>2313</v>
      </c>
      <c r="I204" s="11"/>
      <c r="J204" s="11" t="s">
        <v>2084</v>
      </c>
      <c r="K204" s="11"/>
      <c r="L204" s="11"/>
      <c r="M204" s="11"/>
      <c r="N204" s="11"/>
      <c r="O204" s="11"/>
      <c r="P204" s="11"/>
      <c r="Q204" s="11"/>
      <c r="R204" s="11"/>
      <c r="S204" s="24"/>
      <c r="T204" s="24"/>
      <c r="U204" s="24" t="str">
        <f t="shared" si="4"/>
        <v/>
      </c>
      <c r="V204" s="24"/>
    </row>
    <row r="205" spans="1:22" ht="318.75">
      <c r="A205" s="10" t="s">
        <v>811</v>
      </c>
      <c r="B205" s="11" t="str">
        <f>IFERROR(VLOOKUP(A205,Systems!A:B,2,FALSE),"Various")</f>
        <v>Starting air system</v>
      </c>
      <c r="C205" s="11" t="s">
        <v>2087</v>
      </c>
      <c r="D205" s="11"/>
      <c r="E205" s="11"/>
      <c r="F205" s="24" t="s">
        <v>1412</v>
      </c>
      <c r="G205" s="38"/>
      <c r="H205" s="11" t="s">
        <v>2086</v>
      </c>
      <c r="I205" s="11"/>
      <c r="J205" s="11" t="s">
        <v>2085</v>
      </c>
      <c r="K205" s="11"/>
      <c r="L205" s="11"/>
      <c r="M205" s="11"/>
      <c r="N205" s="11"/>
      <c r="O205" s="11"/>
      <c r="P205" s="11"/>
      <c r="Q205" s="11"/>
      <c r="R205" s="11"/>
      <c r="S205" s="24"/>
      <c r="T205" s="24"/>
      <c r="U205" s="24" t="str">
        <f t="shared" si="4"/>
        <v/>
      </c>
      <c r="V205" s="24"/>
    </row>
    <row r="206" spans="1:22" ht="216.75">
      <c r="A206" s="10" t="s">
        <v>811</v>
      </c>
      <c r="B206" s="11" t="str">
        <f>IFERROR(VLOOKUP(A206,Systems!A:B,2,FALSE),"Various")</f>
        <v>Starting air system</v>
      </c>
      <c r="C206" s="11" t="s">
        <v>2062</v>
      </c>
      <c r="D206" s="11"/>
      <c r="E206" s="11"/>
      <c r="F206" s="24" t="s">
        <v>1412</v>
      </c>
      <c r="G206" s="38"/>
      <c r="H206" s="11" t="s">
        <v>2088</v>
      </c>
      <c r="I206" s="11"/>
      <c r="J206" s="11"/>
      <c r="K206" s="11"/>
      <c r="L206" s="11"/>
      <c r="M206" s="11"/>
      <c r="N206" s="11"/>
      <c r="O206" s="11"/>
      <c r="P206" s="11"/>
      <c r="Q206" s="11"/>
      <c r="R206" s="11"/>
      <c r="S206" s="24"/>
      <c r="T206" s="24"/>
      <c r="U206" s="24" t="str">
        <f t="shared" si="4"/>
        <v/>
      </c>
      <c r="V206" s="24"/>
    </row>
    <row r="207" spans="1:22" ht="140.25">
      <c r="A207" s="10" t="s">
        <v>811</v>
      </c>
      <c r="B207" s="11" t="str">
        <f>IFERROR(VLOOKUP(A207,Systems!A:B,2,FALSE),"Various")</f>
        <v>Starting air system</v>
      </c>
      <c r="C207" s="11" t="s">
        <v>2063</v>
      </c>
      <c r="D207" s="11"/>
      <c r="E207" s="11"/>
      <c r="F207" s="24" t="s">
        <v>1412</v>
      </c>
      <c r="G207" s="38"/>
      <c r="H207" s="11" t="s">
        <v>2091</v>
      </c>
      <c r="I207" s="11"/>
      <c r="J207" s="11" t="s">
        <v>2092</v>
      </c>
      <c r="K207" s="11"/>
      <c r="L207" s="11"/>
      <c r="M207" s="11"/>
      <c r="N207" s="11"/>
      <c r="O207" s="11"/>
      <c r="P207" s="11"/>
      <c r="Q207" s="11"/>
      <c r="R207" s="11"/>
      <c r="S207" s="24"/>
      <c r="T207" s="24"/>
      <c r="U207" s="24"/>
      <c r="V207" s="24"/>
    </row>
    <row r="208" spans="1:22" ht="216.75">
      <c r="A208" s="10" t="s">
        <v>811</v>
      </c>
      <c r="B208" s="11" t="str">
        <f>IFERROR(VLOOKUP(A208,Systems!A:B,2,FALSE),"Various")</f>
        <v>Starting air system</v>
      </c>
      <c r="C208" s="11" t="s">
        <v>2093</v>
      </c>
      <c r="D208" s="11"/>
      <c r="E208" s="11"/>
      <c r="F208" s="24" t="s">
        <v>1412</v>
      </c>
      <c r="G208" s="38"/>
      <c r="H208" s="11" t="s">
        <v>2095</v>
      </c>
      <c r="I208" s="11"/>
      <c r="J208" s="11" t="s">
        <v>2094</v>
      </c>
      <c r="K208" s="11"/>
      <c r="L208" s="11"/>
      <c r="M208" s="11"/>
      <c r="N208" s="11"/>
      <c r="O208" s="11"/>
      <c r="P208" s="11"/>
      <c r="Q208" s="11"/>
      <c r="R208" s="11"/>
      <c r="S208" s="24"/>
      <c r="T208" s="24"/>
      <c r="U208" s="24"/>
      <c r="V208" s="24"/>
    </row>
    <row r="209" spans="1:22" ht="204">
      <c r="A209" s="10" t="s">
        <v>797</v>
      </c>
      <c r="B209" s="11" t="str">
        <f>IFERROR(VLOOKUP(A209,Systems!A:B,2,FALSE),"Various")</f>
        <v>Working / control air system</v>
      </c>
      <c r="C209" s="11" t="s">
        <v>2069</v>
      </c>
      <c r="D209" s="11"/>
      <c r="E209" s="11"/>
      <c r="F209" s="24" t="s">
        <v>1412</v>
      </c>
      <c r="G209" s="38"/>
      <c r="H209" s="11" t="s">
        <v>2099</v>
      </c>
      <c r="I209" s="11"/>
      <c r="J209" s="11" t="s">
        <v>2096</v>
      </c>
      <c r="K209" s="11"/>
      <c r="L209" s="11"/>
      <c r="M209" s="11"/>
      <c r="N209" s="11"/>
      <c r="O209" s="11"/>
      <c r="P209" s="11"/>
      <c r="Q209" s="11"/>
      <c r="R209" s="11"/>
      <c r="S209" s="24"/>
      <c r="T209" s="24"/>
      <c r="U209" s="24"/>
      <c r="V209" s="24"/>
    </row>
    <row r="210" spans="1:22" ht="51">
      <c r="A210" s="10" t="s">
        <v>813</v>
      </c>
      <c r="B210" s="11" t="str">
        <f>IFERROR(VLOOKUP(A210,Systems!A:B,2,FALSE),"Various")</f>
        <v>Compressed air system</v>
      </c>
      <c r="C210" s="11" t="s">
        <v>2071</v>
      </c>
      <c r="D210" s="11"/>
      <c r="E210" s="11"/>
      <c r="F210" s="24" t="s">
        <v>1412</v>
      </c>
      <c r="G210" s="38"/>
      <c r="H210" s="11" t="s">
        <v>2100</v>
      </c>
      <c r="I210" s="11"/>
      <c r="J210" s="11" t="s">
        <v>2097</v>
      </c>
      <c r="K210" s="11"/>
      <c r="L210" s="11"/>
      <c r="M210" s="11"/>
      <c r="N210" s="11"/>
      <c r="O210" s="11"/>
      <c r="P210" s="11"/>
      <c r="Q210" s="11"/>
      <c r="R210" s="11"/>
      <c r="S210" s="24"/>
      <c r="T210" s="24"/>
      <c r="U210" s="24"/>
      <c r="V210" s="24"/>
    </row>
    <row r="211" spans="1:22" ht="51">
      <c r="A211" s="10" t="s">
        <v>813</v>
      </c>
      <c r="B211" s="11" t="str">
        <f>IFERROR(VLOOKUP(A211,Systems!A:B,2,FALSE),"Various")</f>
        <v>Compressed air system</v>
      </c>
      <c r="C211" s="11" t="s">
        <v>2074</v>
      </c>
      <c r="D211" s="11"/>
      <c r="E211" s="11"/>
      <c r="F211" s="24" t="s">
        <v>1412</v>
      </c>
      <c r="G211" s="38"/>
      <c r="H211" s="11" t="s">
        <v>2101</v>
      </c>
      <c r="I211" s="11"/>
      <c r="J211" s="11" t="s">
        <v>2098</v>
      </c>
      <c r="K211" s="11"/>
      <c r="L211" s="11"/>
      <c r="M211" s="11"/>
      <c r="N211" s="11"/>
      <c r="O211" s="11"/>
      <c r="P211" s="11"/>
      <c r="Q211" s="11"/>
      <c r="R211" s="11"/>
      <c r="S211" s="24"/>
      <c r="T211" s="24"/>
      <c r="U211" s="24"/>
      <c r="V211" s="24"/>
    </row>
    <row r="212" spans="1:22" ht="89.25">
      <c r="A212" s="10" t="s">
        <v>813</v>
      </c>
      <c r="B212" s="11" t="str">
        <f>IFERROR(VLOOKUP(A212,Systems!A:B,2,FALSE),"Various")</f>
        <v>Compressed air system</v>
      </c>
      <c r="C212" s="11" t="s">
        <v>1175</v>
      </c>
      <c r="D212" s="11"/>
      <c r="E212" s="11"/>
      <c r="F212" s="24" t="s">
        <v>1412</v>
      </c>
      <c r="G212" s="38"/>
      <c r="H212" s="11" t="s">
        <v>2103</v>
      </c>
      <c r="I212" s="11"/>
      <c r="J212" s="11" t="s">
        <v>2102</v>
      </c>
      <c r="K212" s="11"/>
      <c r="L212" s="11"/>
      <c r="M212" s="11"/>
      <c r="N212" s="11"/>
      <c r="O212" s="11"/>
      <c r="P212" s="11"/>
      <c r="Q212" s="11"/>
      <c r="R212" s="11"/>
      <c r="S212" s="24"/>
      <c r="T212" s="24"/>
      <c r="U212" s="24"/>
      <c r="V212" s="24"/>
    </row>
    <row r="213" spans="1:22" ht="38.25">
      <c r="A213" s="10" t="s">
        <v>813</v>
      </c>
      <c r="B213" s="11" t="str">
        <f>IFERROR(VLOOKUP(A213,Systems!A:B,2,FALSE),"Various")</f>
        <v>Compressed air system</v>
      </c>
      <c r="C213" s="11" t="s">
        <v>1176</v>
      </c>
      <c r="D213" s="11"/>
      <c r="E213" s="11"/>
      <c r="F213" s="24" t="s">
        <v>1412</v>
      </c>
      <c r="G213" s="38"/>
      <c r="H213" s="11" t="s">
        <v>2117</v>
      </c>
      <c r="I213" s="11"/>
      <c r="J213" s="11" t="s">
        <v>2080</v>
      </c>
      <c r="K213" s="11"/>
      <c r="L213" s="11"/>
      <c r="M213" s="11"/>
      <c r="N213" s="11"/>
      <c r="O213" s="11"/>
      <c r="P213" s="11"/>
      <c r="Q213" s="11"/>
      <c r="R213" s="11"/>
      <c r="S213" s="24"/>
      <c r="T213" s="24"/>
      <c r="U213" s="24"/>
      <c r="V213" s="24"/>
    </row>
    <row r="214" spans="1:22" ht="25.5">
      <c r="A214" s="10" t="s">
        <v>813</v>
      </c>
      <c r="B214" s="11" t="str">
        <f>IFERROR(VLOOKUP(A214,Systems!A:B,2,FALSE),"Various")</f>
        <v>Compressed air system</v>
      </c>
      <c r="C214" s="11" t="s">
        <v>2081</v>
      </c>
      <c r="D214" s="11"/>
      <c r="E214" s="11"/>
      <c r="F214" s="24" t="s">
        <v>1412</v>
      </c>
      <c r="G214" s="38"/>
      <c r="H214" s="11" t="s">
        <v>2116</v>
      </c>
      <c r="I214" s="11"/>
      <c r="J214" s="11" t="s">
        <v>2082</v>
      </c>
      <c r="K214" s="11"/>
      <c r="L214" s="11"/>
      <c r="M214" s="11"/>
      <c r="N214" s="11"/>
      <c r="O214" s="11"/>
      <c r="P214" s="11"/>
      <c r="Q214" s="11"/>
      <c r="R214" s="11"/>
      <c r="S214" s="24"/>
      <c r="T214" s="24"/>
      <c r="U214" s="24"/>
      <c r="V214" s="24"/>
    </row>
    <row r="215" spans="1:22" ht="63.75">
      <c r="A215" s="10" t="s">
        <v>813</v>
      </c>
      <c r="B215" s="11" t="str">
        <f>IFERROR(VLOOKUP(A215,Systems!A:B,2,FALSE),"Various")</f>
        <v>Compressed air system</v>
      </c>
      <c r="C215" s="11" t="s">
        <v>2105</v>
      </c>
      <c r="D215" s="11"/>
      <c r="E215" s="11"/>
      <c r="F215" s="24" t="s">
        <v>1412</v>
      </c>
      <c r="G215" s="38"/>
      <c r="H215" s="11" t="s">
        <v>2112</v>
      </c>
      <c r="I215" s="11"/>
      <c r="J215" s="11" t="s">
        <v>2104</v>
      </c>
      <c r="K215" s="11"/>
      <c r="L215" s="11"/>
      <c r="M215" s="11"/>
      <c r="N215" s="11"/>
      <c r="O215" s="11"/>
      <c r="P215" s="11"/>
      <c r="Q215" s="11"/>
      <c r="R215" s="11"/>
      <c r="S215" s="24"/>
      <c r="T215" s="24"/>
      <c r="U215" s="24"/>
      <c r="V215" s="24"/>
    </row>
    <row r="216" spans="1:22" ht="63.75">
      <c r="A216" s="10" t="s">
        <v>813</v>
      </c>
      <c r="B216" s="11" t="str">
        <f>IFERROR(VLOOKUP(A216,Systems!A:B,2,FALSE),"Various")</f>
        <v>Compressed air system</v>
      </c>
      <c r="C216" s="11" t="s">
        <v>2106</v>
      </c>
      <c r="D216" s="11"/>
      <c r="E216" s="11"/>
      <c r="F216" s="24" t="s">
        <v>1412</v>
      </c>
      <c r="G216" s="38"/>
      <c r="H216" s="11" t="s">
        <v>2113</v>
      </c>
      <c r="I216" s="11"/>
      <c r="J216" s="11" t="s">
        <v>2107</v>
      </c>
      <c r="K216" s="11"/>
      <c r="L216" s="11"/>
      <c r="M216" s="11"/>
      <c r="N216" s="11"/>
      <c r="O216" s="11"/>
      <c r="P216" s="11"/>
      <c r="Q216" s="11"/>
      <c r="R216" s="11"/>
      <c r="S216" s="24"/>
      <c r="T216" s="24"/>
      <c r="U216" s="24"/>
      <c r="V216" s="24"/>
    </row>
    <row r="217" spans="1:22" ht="51">
      <c r="A217" s="10" t="s">
        <v>811</v>
      </c>
      <c r="B217" s="11" t="str">
        <f>IFERROR(VLOOKUP(A217,Systems!A:B,2,FALSE),"Various")</f>
        <v>Starting air system</v>
      </c>
      <c r="C217" s="11" t="s">
        <v>2109</v>
      </c>
      <c r="D217" s="11"/>
      <c r="E217" s="11"/>
      <c r="F217" s="24" t="s">
        <v>1412</v>
      </c>
      <c r="G217" s="38"/>
      <c r="H217" s="11" t="s">
        <v>2114</v>
      </c>
      <c r="I217" s="11"/>
      <c r="J217" s="11" t="s">
        <v>2108</v>
      </c>
      <c r="K217" s="11"/>
      <c r="L217" s="11"/>
      <c r="M217" s="11"/>
      <c r="N217" s="11"/>
      <c r="O217" s="11"/>
      <c r="P217" s="11"/>
      <c r="Q217" s="11"/>
      <c r="R217" s="11"/>
      <c r="S217" s="24"/>
      <c r="T217" s="24"/>
      <c r="U217" s="24"/>
      <c r="V217" s="24"/>
    </row>
    <row r="218" spans="1:22" ht="267.75">
      <c r="A218" s="10" t="s">
        <v>811</v>
      </c>
      <c r="B218" s="11" t="str">
        <f>IFERROR(VLOOKUP(A218,Systems!A:B,2,FALSE),"Various")</f>
        <v>Starting air system</v>
      </c>
      <c r="C218" s="11" t="s">
        <v>2110</v>
      </c>
      <c r="D218" s="11"/>
      <c r="E218" s="11"/>
      <c r="F218" s="24" t="s">
        <v>1412</v>
      </c>
      <c r="G218" s="38"/>
      <c r="H218" s="11" t="s">
        <v>2115</v>
      </c>
      <c r="I218" s="11"/>
      <c r="J218" s="11" t="s">
        <v>2111</v>
      </c>
      <c r="K218" s="11"/>
      <c r="L218" s="11"/>
      <c r="M218" s="11"/>
      <c r="N218" s="11"/>
      <c r="O218" s="11"/>
      <c r="P218" s="11"/>
      <c r="Q218" s="11"/>
      <c r="R218" s="11"/>
      <c r="S218" s="24"/>
      <c r="T218" s="24"/>
      <c r="U218" s="24"/>
      <c r="V218" s="24"/>
    </row>
    <row r="219" spans="1:22" ht="242.25">
      <c r="A219" s="10" t="s">
        <v>433</v>
      </c>
      <c r="B219" s="11" t="str">
        <f>IFERROR(VLOOKUP(A219,Systems!A:B,2,FALSE),"Various")</f>
        <v>Ventilation system</v>
      </c>
      <c r="C219" s="11" t="s">
        <v>1755</v>
      </c>
      <c r="D219" s="11"/>
      <c r="E219" s="11"/>
      <c r="F219" s="24" t="s">
        <v>1412</v>
      </c>
      <c r="G219" s="38"/>
      <c r="H219" s="11" t="s">
        <v>1874</v>
      </c>
      <c r="I219" s="11"/>
      <c r="J219" s="11"/>
      <c r="K219" s="11"/>
      <c r="L219" s="11"/>
      <c r="M219" s="11"/>
      <c r="N219" s="11"/>
      <c r="O219" s="11"/>
      <c r="P219" s="11"/>
      <c r="Q219" s="11"/>
      <c r="R219" s="11"/>
      <c r="S219" s="24"/>
      <c r="T219" s="24"/>
      <c r="U219" s="24"/>
      <c r="V219" s="24"/>
    </row>
    <row r="220" spans="1:22" ht="140.25">
      <c r="A220" s="10" t="s">
        <v>187</v>
      </c>
      <c r="B220" s="11" t="str">
        <f>IFERROR(VLOOKUP(A220,Systems!A:B,2,FALSE),"Various")</f>
        <v>Piping common</v>
      </c>
      <c r="C220" s="11" t="s">
        <v>1773</v>
      </c>
      <c r="D220" s="11"/>
      <c r="E220" s="11"/>
      <c r="F220" s="24" t="s">
        <v>1412</v>
      </c>
      <c r="G220" s="38"/>
      <c r="H220" s="11" t="s">
        <v>1778</v>
      </c>
      <c r="I220" s="11"/>
      <c r="J220" s="11"/>
      <c r="K220" s="11"/>
      <c r="L220" s="11"/>
      <c r="M220" s="11"/>
      <c r="N220" s="11"/>
      <c r="O220" s="11"/>
      <c r="P220" s="11"/>
      <c r="Q220" s="11"/>
      <c r="R220" s="11"/>
      <c r="S220" s="24" t="s">
        <v>30</v>
      </c>
      <c r="T220" s="24"/>
      <c r="U220" s="24" t="str">
        <f t="shared" ref="U220:U264" si="5">IF(OR(NOT(H220=""),NOT(M220="")),"","x")</f>
        <v/>
      </c>
      <c r="V220" s="24"/>
    </row>
    <row r="221" spans="1:22" ht="51">
      <c r="A221" s="10" t="s">
        <v>187</v>
      </c>
      <c r="B221" s="11" t="str">
        <f>IFERROR(VLOOKUP(A221,Systems!A:B,2,FALSE),"Various")</f>
        <v>Piping common</v>
      </c>
      <c r="C221" s="11" t="s">
        <v>1773</v>
      </c>
      <c r="D221" s="11"/>
      <c r="E221" s="11"/>
      <c r="F221" s="24" t="s">
        <v>1412</v>
      </c>
      <c r="G221" s="38"/>
      <c r="H221" s="11" t="s">
        <v>1777</v>
      </c>
      <c r="I221" s="11"/>
      <c r="J221" s="11"/>
      <c r="K221" s="11"/>
      <c r="L221" s="11"/>
      <c r="M221" s="11"/>
      <c r="N221" s="11"/>
      <c r="O221" s="11"/>
      <c r="P221" s="11"/>
      <c r="Q221" s="11"/>
      <c r="R221" s="11"/>
      <c r="S221" s="24"/>
      <c r="T221" s="24"/>
      <c r="U221" s="24" t="str">
        <f t="shared" si="5"/>
        <v/>
      </c>
      <c r="V221" s="24"/>
    </row>
    <row r="222" spans="1:22" ht="38.25">
      <c r="A222" s="10" t="s">
        <v>187</v>
      </c>
      <c r="B222" s="11" t="str">
        <f>IFERROR(VLOOKUP(A222,Systems!A:B,2,FALSE),"Various")</f>
        <v>Piping common</v>
      </c>
      <c r="C222" s="11" t="s">
        <v>1773</v>
      </c>
      <c r="D222" s="11"/>
      <c r="E222" s="11"/>
      <c r="F222" s="24" t="s">
        <v>1412</v>
      </c>
      <c r="G222" s="38"/>
      <c r="H222" s="11" t="s">
        <v>1774</v>
      </c>
      <c r="I222" s="11"/>
      <c r="J222" s="11"/>
      <c r="K222" s="11"/>
      <c r="L222" s="11"/>
      <c r="M222" s="11"/>
      <c r="N222" s="11"/>
      <c r="O222" s="11"/>
      <c r="P222" s="11"/>
      <c r="Q222" s="11"/>
      <c r="R222" s="11"/>
      <c r="S222" s="24"/>
      <c r="T222" s="24"/>
      <c r="U222" s="24" t="str">
        <f t="shared" si="5"/>
        <v/>
      </c>
      <c r="V222" s="24"/>
    </row>
    <row r="223" spans="1:22" ht="63.75">
      <c r="A223" s="10" t="s">
        <v>187</v>
      </c>
      <c r="B223" s="11" t="str">
        <f>IFERROR(VLOOKUP(A223,Systems!A:B,2,FALSE),"Various")</f>
        <v>Piping common</v>
      </c>
      <c r="C223" s="11" t="s">
        <v>1773</v>
      </c>
      <c r="D223" s="11"/>
      <c r="E223" s="11"/>
      <c r="F223" s="24" t="s">
        <v>1412</v>
      </c>
      <c r="G223" s="38"/>
      <c r="H223" s="11" t="s">
        <v>1775</v>
      </c>
      <c r="I223" s="11"/>
      <c r="J223" s="11"/>
      <c r="K223" s="11"/>
      <c r="L223" s="11"/>
      <c r="M223" s="11"/>
      <c r="N223" s="11"/>
      <c r="O223" s="11"/>
      <c r="P223" s="11"/>
      <c r="Q223" s="11"/>
      <c r="R223" s="11"/>
      <c r="S223" s="24"/>
      <c r="T223" s="24"/>
      <c r="U223" s="24" t="str">
        <f t="shared" si="5"/>
        <v/>
      </c>
      <c r="V223" s="24"/>
    </row>
    <row r="224" spans="1:22" ht="51">
      <c r="A224" s="10" t="s">
        <v>187</v>
      </c>
      <c r="B224" s="11" t="str">
        <f>IFERROR(VLOOKUP(A224,Systems!A:B,2,FALSE),"Various")</f>
        <v>Piping common</v>
      </c>
      <c r="C224" s="11" t="s">
        <v>1773</v>
      </c>
      <c r="D224" s="11"/>
      <c r="E224" s="11"/>
      <c r="F224" s="24" t="s">
        <v>1412</v>
      </c>
      <c r="G224" s="38"/>
      <c r="H224" s="11" t="s">
        <v>1776</v>
      </c>
      <c r="I224" s="11"/>
      <c r="J224" s="11"/>
      <c r="K224" s="11"/>
      <c r="L224" s="11"/>
      <c r="M224" s="11"/>
      <c r="N224" s="11"/>
      <c r="O224" s="11"/>
      <c r="P224" s="11"/>
      <c r="Q224" s="11"/>
      <c r="R224" s="11"/>
      <c r="S224" s="24" t="s">
        <v>30</v>
      </c>
      <c r="T224" s="24"/>
      <c r="U224" s="24" t="str">
        <f t="shared" si="5"/>
        <v/>
      </c>
      <c r="V224" s="24"/>
    </row>
    <row r="225" spans="1:22" ht="127.5">
      <c r="A225" s="10" t="s">
        <v>187</v>
      </c>
      <c r="B225" s="11" t="str">
        <f>IFERROR(VLOOKUP(A225,Systems!A:B,2,FALSE),"Various")</f>
        <v>Piping common</v>
      </c>
      <c r="C225" s="11" t="s">
        <v>937</v>
      </c>
      <c r="D225" s="11"/>
      <c r="E225" s="11"/>
      <c r="F225" s="24" t="s">
        <v>1412</v>
      </c>
      <c r="G225" s="38"/>
      <c r="H225" s="11" t="s">
        <v>938</v>
      </c>
      <c r="I225" s="11"/>
      <c r="J225" s="11"/>
      <c r="K225" s="11"/>
      <c r="L225" s="11"/>
      <c r="M225" s="11"/>
      <c r="N225" s="11"/>
      <c r="O225" s="11"/>
      <c r="P225" s="11" t="s">
        <v>281</v>
      </c>
      <c r="Q225" s="11"/>
      <c r="R225" s="11"/>
      <c r="S225" s="24" t="s">
        <v>30</v>
      </c>
      <c r="T225" s="24"/>
      <c r="U225" s="24" t="str">
        <f t="shared" si="5"/>
        <v/>
      </c>
      <c r="V225" s="24"/>
    </row>
    <row r="226" spans="1:22" ht="140.25">
      <c r="A226" s="10" t="s">
        <v>187</v>
      </c>
      <c r="B226" s="11" t="str">
        <f>IFERROR(VLOOKUP(A226,Systems!A:B,2,FALSE),"Various")</f>
        <v>Piping common</v>
      </c>
      <c r="C226" s="11" t="s">
        <v>936</v>
      </c>
      <c r="D226" s="11"/>
      <c r="E226" s="11"/>
      <c r="F226" s="24" t="s">
        <v>1412</v>
      </c>
      <c r="G226" s="38"/>
      <c r="H226" s="11" t="s">
        <v>941</v>
      </c>
      <c r="I226" s="11"/>
      <c r="J226" s="11"/>
      <c r="K226" s="11"/>
      <c r="L226" s="11"/>
      <c r="M226" s="11"/>
      <c r="N226" s="11"/>
      <c r="O226" s="11"/>
      <c r="P226" s="11"/>
      <c r="Q226" s="11"/>
      <c r="R226" s="11"/>
      <c r="S226" s="24" t="s">
        <v>30</v>
      </c>
      <c r="T226" s="24"/>
      <c r="U226" s="24" t="str">
        <f t="shared" si="5"/>
        <v/>
      </c>
      <c r="V226" s="24"/>
    </row>
    <row r="227" spans="1:22" ht="76.5">
      <c r="A227" s="10" t="s">
        <v>187</v>
      </c>
      <c r="B227" s="11" t="str">
        <f>IFERROR(VLOOKUP(A227,Systems!A:B,2,FALSE),"Various")</f>
        <v>Piping common</v>
      </c>
      <c r="C227" s="11" t="s">
        <v>939</v>
      </c>
      <c r="D227" s="11"/>
      <c r="E227" s="11"/>
      <c r="F227" s="24" t="s">
        <v>1412</v>
      </c>
      <c r="G227" s="38"/>
      <c r="H227" s="11" t="s">
        <v>940</v>
      </c>
      <c r="I227" s="11"/>
      <c r="J227" s="11"/>
      <c r="K227" s="11"/>
      <c r="L227" s="11"/>
      <c r="M227" s="11"/>
      <c r="N227" s="11"/>
      <c r="O227" s="11"/>
      <c r="P227" s="11"/>
      <c r="Q227" s="11"/>
      <c r="R227" s="11"/>
      <c r="S227" s="24" t="s">
        <v>30</v>
      </c>
      <c r="T227" s="24"/>
      <c r="U227" s="24" t="str">
        <f t="shared" si="5"/>
        <v/>
      </c>
      <c r="V227" s="24"/>
    </row>
    <row r="228" spans="1:22" ht="63.75">
      <c r="A228" s="10" t="s">
        <v>187</v>
      </c>
      <c r="B228" s="11" t="str">
        <f>IFERROR(VLOOKUP(A228,Systems!A:B,2,FALSE),"Various")</f>
        <v>Piping common</v>
      </c>
      <c r="C228" s="11" t="s">
        <v>943</v>
      </c>
      <c r="D228" s="11"/>
      <c r="E228" s="11"/>
      <c r="F228" s="24" t="s">
        <v>1412</v>
      </c>
      <c r="G228" s="38"/>
      <c r="H228" s="11" t="s">
        <v>942</v>
      </c>
      <c r="I228" s="11"/>
      <c r="J228" s="11"/>
      <c r="K228" s="11"/>
      <c r="L228" s="11"/>
      <c r="M228" s="11"/>
      <c r="N228" s="11"/>
      <c r="O228" s="11"/>
      <c r="P228" s="11" t="s">
        <v>288</v>
      </c>
      <c r="Q228" s="11"/>
      <c r="R228" s="11"/>
      <c r="S228" s="24" t="s">
        <v>30</v>
      </c>
      <c r="T228" s="24"/>
      <c r="U228" s="24" t="str">
        <f t="shared" si="5"/>
        <v/>
      </c>
      <c r="V228" s="24"/>
    </row>
    <row r="229" spans="1:22" ht="293.25">
      <c r="A229" s="10" t="s">
        <v>187</v>
      </c>
      <c r="B229" s="11" t="str">
        <f>IFERROR(VLOOKUP(A229,Systems!A:B,2,FALSE),"Various")</f>
        <v>Piping common</v>
      </c>
      <c r="C229" s="11" t="s">
        <v>59</v>
      </c>
      <c r="D229" s="11"/>
      <c r="E229" s="11"/>
      <c r="F229" s="24" t="s">
        <v>1412</v>
      </c>
      <c r="G229" s="38"/>
      <c r="H229" s="11" t="s">
        <v>944</v>
      </c>
      <c r="I229" s="11"/>
      <c r="J229" s="11"/>
      <c r="K229" s="11"/>
      <c r="L229" s="11"/>
      <c r="M229" s="11"/>
      <c r="N229" s="11"/>
      <c r="O229" s="11"/>
      <c r="P229" s="11" t="s">
        <v>289</v>
      </c>
      <c r="Q229" s="11"/>
      <c r="R229" s="11"/>
      <c r="S229" s="24"/>
      <c r="T229" s="24"/>
      <c r="U229" s="24" t="str">
        <f t="shared" si="5"/>
        <v/>
      </c>
      <c r="V229" s="24"/>
    </row>
    <row r="230" spans="1:22" ht="191.25">
      <c r="A230" s="10" t="s">
        <v>187</v>
      </c>
      <c r="B230" s="11" t="str">
        <f>IFERROR(VLOOKUP(A230,Systems!A:B,2,FALSE),"Various")</f>
        <v>Piping common</v>
      </c>
      <c r="C230" s="11" t="s">
        <v>59</v>
      </c>
      <c r="D230" s="11"/>
      <c r="E230" s="11"/>
      <c r="F230" s="24" t="s">
        <v>1412</v>
      </c>
      <c r="G230" s="38"/>
      <c r="H230" s="11" t="s">
        <v>1898</v>
      </c>
      <c r="I230" s="11"/>
      <c r="J230" s="11"/>
      <c r="K230" s="11"/>
      <c r="L230" s="11"/>
      <c r="M230" s="11"/>
      <c r="N230" s="11"/>
      <c r="O230" s="11"/>
      <c r="P230" s="11" t="s">
        <v>947</v>
      </c>
      <c r="Q230" s="11"/>
      <c r="R230" s="11"/>
      <c r="S230" s="24"/>
      <c r="T230" s="24"/>
      <c r="U230" s="24" t="str">
        <f t="shared" si="5"/>
        <v/>
      </c>
      <c r="V230" s="24"/>
    </row>
    <row r="231" spans="1:22" ht="229.5">
      <c r="A231" s="10" t="s">
        <v>187</v>
      </c>
      <c r="B231" s="11" t="str">
        <f>IFERROR(VLOOKUP(A231,Systems!A:B,2,FALSE),"Various")</f>
        <v>Piping common</v>
      </c>
      <c r="C231" s="11" t="s">
        <v>59</v>
      </c>
      <c r="D231" s="11"/>
      <c r="E231" s="11"/>
      <c r="F231" s="24" t="s">
        <v>1412</v>
      </c>
      <c r="G231" s="38"/>
      <c r="H231" s="11" t="s">
        <v>945</v>
      </c>
      <c r="I231" s="11"/>
      <c r="J231" s="11"/>
      <c r="K231" s="11"/>
      <c r="L231" s="11"/>
      <c r="M231" s="11"/>
      <c r="N231" s="11"/>
      <c r="O231" s="11"/>
      <c r="P231" s="11" t="s">
        <v>946</v>
      </c>
      <c r="Q231" s="11"/>
      <c r="R231" s="11"/>
      <c r="S231" s="24"/>
      <c r="T231" s="24"/>
      <c r="U231" s="24" t="str">
        <f t="shared" si="5"/>
        <v/>
      </c>
      <c r="V231" s="24"/>
    </row>
    <row r="232" spans="1:22" ht="140.25">
      <c r="A232" s="10" t="s">
        <v>187</v>
      </c>
      <c r="B232" s="11" t="str">
        <f>IFERROR(VLOOKUP(A232,Systems!A:B,2,FALSE),"Various")</f>
        <v>Piping common</v>
      </c>
      <c r="C232" s="11" t="s">
        <v>59</v>
      </c>
      <c r="D232" s="11"/>
      <c r="E232" s="11"/>
      <c r="F232" s="24" t="s">
        <v>1412</v>
      </c>
      <c r="G232" s="38"/>
      <c r="H232" s="11" t="s">
        <v>948</v>
      </c>
      <c r="I232" s="11"/>
      <c r="J232" s="11"/>
      <c r="K232" s="11"/>
      <c r="L232" s="11"/>
      <c r="M232" s="11"/>
      <c r="N232" s="11"/>
      <c r="O232" s="11"/>
      <c r="P232" s="11" t="s">
        <v>946</v>
      </c>
      <c r="Q232" s="11"/>
      <c r="R232" s="11"/>
      <c r="S232" s="24"/>
      <c r="T232" s="24"/>
      <c r="U232" s="24" t="str">
        <f t="shared" si="5"/>
        <v/>
      </c>
      <c r="V232" s="24"/>
    </row>
    <row r="233" spans="1:22" ht="409.5">
      <c r="A233" s="10" t="s">
        <v>187</v>
      </c>
      <c r="B233" s="11" t="str">
        <f>IFERROR(VLOOKUP(A233,Systems!A:B,2,FALSE),"Various")</f>
        <v>Piping common</v>
      </c>
      <c r="C233" s="11" t="s">
        <v>59</v>
      </c>
      <c r="D233" s="11"/>
      <c r="E233" s="11"/>
      <c r="F233" s="24" t="s">
        <v>1412</v>
      </c>
      <c r="G233" s="38"/>
      <c r="H233" s="11" t="s">
        <v>949</v>
      </c>
      <c r="I233" s="11"/>
      <c r="J233" s="11"/>
      <c r="K233" s="11"/>
      <c r="L233" s="11"/>
      <c r="M233" s="11"/>
      <c r="N233" s="11"/>
      <c r="O233" s="11"/>
      <c r="P233" s="11" t="s">
        <v>946</v>
      </c>
      <c r="Q233" s="11"/>
      <c r="R233" s="11"/>
      <c r="S233" s="24"/>
      <c r="T233" s="24"/>
      <c r="U233" s="24" t="str">
        <f t="shared" si="5"/>
        <v/>
      </c>
      <c r="V233" s="24"/>
    </row>
    <row r="234" spans="1:22" ht="76.5">
      <c r="A234" s="10" t="s">
        <v>187</v>
      </c>
      <c r="B234" s="11" t="str">
        <f>IFERROR(VLOOKUP(A234,Systems!A:B,2,FALSE),"Various")</f>
        <v>Piping common</v>
      </c>
      <c r="C234" s="11" t="s">
        <v>953</v>
      </c>
      <c r="D234" s="11"/>
      <c r="E234" s="11"/>
      <c r="F234" s="24" t="s">
        <v>1412</v>
      </c>
      <c r="G234" s="38"/>
      <c r="H234" s="11" t="s">
        <v>950</v>
      </c>
      <c r="I234" s="11"/>
      <c r="J234" s="11"/>
      <c r="K234" s="11"/>
      <c r="L234" s="11"/>
      <c r="M234" s="11"/>
      <c r="N234" s="11"/>
      <c r="O234" s="11"/>
      <c r="P234" s="11" t="s">
        <v>290</v>
      </c>
      <c r="Q234" s="11"/>
      <c r="R234" s="11"/>
      <c r="S234" s="24"/>
      <c r="T234" s="24"/>
      <c r="U234" s="24" t="str">
        <f t="shared" si="5"/>
        <v/>
      </c>
      <c r="V234" s="24"/>
    </row>
    <row r="235" spans="1:22" ht="63.75">
      <c r="A235" s="10" t="s">
        <v>1109</v>
      </c>
      <c r="B235" s="11" t="str">
        <f>IFERROR(VLOOKUP(A235,Systems!A:B,2,FALSE),"Various")</f>
        <v>Fuel-oil systems</v>
      </c>
      <c r="C235" s="11" t="s">
        <v>1254</v>
      </c>
      <c r="D235" s="11"/>
      <c r="E235" s="11"/>
      <c r="F235" s="24" t="s">
        <v>1412</v>
      </c>
      <c r="G235" s="38"/>
      <c r="H235" s="11" t="s">
        <v>1515</v>
      </c>
      <c r="I235" s="11"/>
      <c r="J235" s="11"/>
      <c r="K235" s="11"/>
      <c r="L235" s="11"/>
      <c r="M235" s="11"/>
      <c r="N235" s="11"/>
      <c r="O235" s="11"/>
      <c r="P235" s="11"/>
      <c r="Q235" s="11"/>
      <c r="R235" s="11"/>
      <c r="S235" s="24"/>
      <c r="T235" s="24"/>
      <c r="U235" s="24" t="str">
        <f t="shared" si="5"/>
        <v/>
      </c>
      <c r="V235" s="24"/>
    </row>
    <row r="236" spans="1:22" ht="63.75">
      <c r="A236" s="10" t="s">
        <v>187</v>
      </c>
      <c r="B236" s="11" t="str">
        <f>IFERROR(VLOOKUP(A236,Systems!A:B,2,FALSE),"Various")</f>
        <v>Piping common</v>
      </c>
      <c r="C236" s="11" t="s">
        <v>953</v>
      </c>
      <c r="D236" s="11"/>
      <c r="E236" s="11"/>
      <c r="F236" s="24" t="s">
        <v>1412</v>
      </c>
      <c r="G236" s="38"/>
      <c r="H236" s="11" t="s">
        <v>951</v>
      </c>
      <c r="I236" s="11"/>
      <c r="J236" s="11"/>
      <c r="K236" s="11"/>
      <c r="L236" s="11"/>
      <c r="M236" s="11"/>
      <c r="N236" s="11"/>
      <c r="O236" s="11"/>
      <c r="P236" s="11" t="s">
        <v>290</v>
      </c>
      <c r="Q236" s="11"/>
      <c r="R236" s="11"/>
      <c r="S236" s="24"/>
      <c r="T236" s="24"/>
      <c r="U236" s="24" t="str">
        <f t="shared" si="5"/>
        <v/>
      </c>
      <c r="V236" s="24"/>
    </row>
    <row r="237" spans="1:22" ht="165.75">
      <c r="A237" s="10" t="s">
        <v>1253</v>
      </c>
      <c r="B237" s="11" t="str">
        <f>IFERROR(VLOOKUP(A237,Systems!A:B,2,FALSE),"Various")</f>
        <v>Various</v>
      </c>
      <c r="C237" s="11" t="s">
        <v>1255</v>
      </c>
      <c r="D237" s="11"/>
      <c r="E237" s="11"/>
      <c r="F237" s="24" t="s">
        <v>1412</v>
      </c>
      <c r="G237" s="38"/>
      <c r="H237" s="11" t="s">
        <v>1516</v>
      </c>
      <c r="I237" s="11"/>
      <c r="J237" s="11"/>
      <c r="K237" s="11"/>
      <c r="L237" s="11"/>
      <c r="M237" s="11"/>
      <c r="N237" s="11"/>
      <c r="O237" s="11"/>
      <c r="P237" s="11"/>
      <c r="Q237" s="11"/>
      <c r="R237" s="11"/>
      <c r="S237" s="24" t="s">
        <v>30</v>
      </c>
      <c r="T237" s="24"/>
      <c r="U237" s="24" t="str">
        <f t="shared" si="5"/>
        <v/>
      </c>
      <c r="V237" s="24"/>
    </row>
    <row r="238" spans="1:22" ht="153">
      <c r="A238" s="10" t="s">
        <v>187</v>
      </c>
      <c r="B238" s="11" t="str">
        <f>IFERROR(VLOOKUP(A238,Systems!A:B,2,FALSE),"Various")</f>
        <v>Piping common</v>
      </c>
      <c r="C238" s="11" t="s">
        <v>953</v>
      </c>
      <c r="D238" s="11"/>
      <c r="E238" s="11"/>
      <c r="F238" s="24" t="s">
        <v>1412</v>
      </c>
      <c r="G238" s="38"/>
      <c r="H238" s="11" t="s">
        <v>952</v>
      </c>
      <c r="I238" s="11"/>
      <c r="J238" s="11"/>
      <c r="K238" s="11"/>
      <c r="L238" s="11"/>
      <c r="M238" s="11"/>
      <c r="N238" s="11"/>
      <c r="O238" s="11"/>
      <c r="P238" s="11" t="s">
        <v>290</v>
      </c>
      <c r="Q238" s="11"/>
      <c r="R238" s="11"/>
      <c r="S238" s="24" t="s">
        <v>30</v>
      </c>
      <c r="T238" s="24"/>
      <c r="U238" s="24" t="str">
        <f t="shared" si="5"/>
        <v/>
      </c>
      <c r="V238" s="24"/>
    </row>
    <row r="239" spans="1:22" ht="153">
      <c r="A239" s="10" t="s">
        <v>2412</v>
      </c>
      <c r="B239" s="11" t="str">
        <f>IFERROR(VLOOKUP(A239,Systems!A:B,2,FALSE),"Various")</f>
        <v>Various</v>
      </c>
      <c r="C239" s="11" t="s">
        <v>953</v>
      </c>
      <c r="D239" s="11"/>
      <c r="E239" s="11"/>
      <c r="F239" s="24" t="s">
        <v>1412</v>
      </c>
      <c r="G239" s="38"/>
      <c r="H239" s="11" t="s">
        <v>1517</v>
      </c>
      <c r="I239" s="11"/>
      <c r="J239" s="11"/>
      <c r="K239" s="11"/>
      <c r="L239" s="11"/>
      <c r="M239" s="11"/>
      <c r="N239" s="11"/>
      <c r="O239" s="11"/>
      <c r="P239" s="11" t="s">
        <v>290</v>
      </c>
      <c r="Q239" s="11"/>
      <c r="R239" s="11"/>
      <c r="S239" s="24" t="s">
        <v>30</v>
      </c>
      <c r="T239" s="24"/>
      <c r="U239" s="24" t="str">
        <f t="shared" si="5"/>
        <v/>
      </c>
      <c r="V239" s="24"/>
    </row>
    <row r="240" spans="1:22" ht="344.25">
      <c r="A240" s="10" t="s">
        <v>187</v>
      </c>
      <c r="B240" s="11" t="str">
        <f>IFERROR(VLOOKUP(A240,Systems!A:B,2,FALSE),"Various")</f>
        <v>Piping common</v>
      </c>
      <c r="C240" s="11" t="s">
        <v>58</v>
      </c>
      <c r="D240" s="11"/>
      <c r="E240" s="11"/>
      <c r="F240" s="24" t="s">
        <v>1412</v>
      </c>
      <c r="G240" s="38"/>
      <c r="H240" s="11" t="s">
        <v>954</v>
      </c>
      <c r="I240" s="11"/>
      <c r="J240" s="11"/>
      <c r="K240" s="11"/>
      <c r="L240" s="11"/>
      <c r="M240" s="11"/>
      <c r="N240" s="11"/>
      <c r="O240" s="11"/>
      <c r="P240" s="11" t="s">
        <v>290</v>
      </c>
      <c r="Q240" s="11"/>
      <c r="R240" s="11"/>
      <c r="S240" s="24" t="s">
        <v>30</v>
      </c>
      <c r="T240" s="24"/>
      <c r="U240" s="24" t="str">
        <f t="shared" si="5"/>
        <v/>
      </c>
      <c r="V240" s="24"/>
    </row>
    <row r="241" spans="1:22" ht="409.5">
      <c r="A241" s="10" t="s">
        <v>187</v>
      </c>
      <c r="B241" s="11" t="str">
        <f>IFERROR(VLOOKUP(A241,Systems!A:B,2,FALSE),"Various")</f>
        <v>Piping common</v>
      </c>
      <c r="C241" s="11" t="s">
        <v>58</v>
      </c>
      <c r="D241" s="11"/>
      <c r="E241" s="11"/>
      <c r="F241" s="24" t="s">
        <v>1412</v>
      </c>
      <c r="G241" s="38"/>
      <c r="H241" s="11" t="s">
        <v>955</v>
      </c>
      <c r="I241" s="11"/>
      <c r="J241" s="11"/>
      <c r="K241" s="11"/>
      <c r="L241" s="11"/>
      <c r="M241" s="11"/>
      <c r="N241" s="11"/>
      <c r="O241" s="11"/>
      <c r="P241" s="11"/>
      <c r="Q241" s="11"/>
      <c r="R241" s="11"/>
      <c r="S241" s="24" t="s">
        <v>30</v>
      </c>
      <c r="T241" s="24"/>
      <c r="U241" s="24" t="str">
        <f t="shared" si="5"/>
        <v/>
      </c>
      <c r="V241" s="24"/>
    </row>
    <row r="242" spans="1:22" ht="409.5">
      <c r="A242" s="10" t="s">
        <v>187</v>
      </c>
      <c r="B242" s="11" t="str">
        <f>IFERROR(VLOOKUP(A242,Systems!A:B,2,FALSE),"Various")</f>
        <v>Piping common</v>
      </c>
      <c r="C242" s="11" t="s">
        <v>58</v>
      </c>
      <c r="D242" s="11"/>
      <c r="E242" s="11"/>
      <c r="F242" s="24" t="s">
        <v>1412</v>
      </c>
      <c r="G242" s="38"/>
      <c r="H242" s="11" t="s">
        <v>956</v>
      </c>
      <c r="I242" s="11"/>
      <c r="J242" s="11"/>
      <c r="K242" s="11"/>
      <c r="L242" s="11"/>
      <c r="M242" s="11"/>
      <c r="N242" s="11"/>
      <c r="O242" s="11"/>
      <c r="P242" s="11"/>
      <c r="Q242" s="11"/>
      <c r="R242" s="11"/>
      <c r="S242" s="24" t="s">
        <v>30</v>
      </c>
      <c r="T242" s="24"/>
      <c r="U242" s="24" t="str">
        <f t="shared" si="5"/>
        <v/>
      </c>
      <c r="V242" s="24"/>
    </row>
    <row r="243" spans="1:22" ht="293.25">
      <c r="A243" s="10" t="s">
        <v>187</v>
      </c>
      <c r="B243" s="11" t="str">
        <f>IFERROR(VLOOKUP(A243,Systems!A:B,2,FALSE),"Various")</f>
        <v>Piping common</v>
      </c>
      <c r="C243" s="11" t="s">
        <v>57</v>
      </c>
      <c r="D243" s="11"/>
      <c r="E243" s="11"/>
      <c r="F243" s="24" t="s">
        <v>1412</v>
      </c>
      <c r="G243" s="38"/>
      <c r="H243" s="11" t="s">
        <v>1721</v>
      </c>
      <c r="I243" s="11"/>
      <c r="J243" s="11"/>
      <c r="K243" s="11"/>
      <c r="L243" s="11"/>
      <c r="M243" s="11"/>
      <c r="N243" s="11"/>
      <c r="O243" s="11"/>
      <c r="P243" s="11" t="s">
        <v>291</v>
      </c>
      <c r="Q243" s="11"/>
      <c r="R243" s="11"/>
      <c r="S243" s="24" t="s">
        <v>30</v>
      </c>
      <c r="T243" s="24"/>
      <c r="U243" s="24" t="str">
        <f t="shared" si="5"/>
        <v/>
      </c>
      <c r="V243" s="24"/>
    </row>
    <row r="244" spans="1:22" ht="153">
      <c r="A244" s="10" t="s">
        <v>187</v>
      </c>
      <c r="B244" s="11" t="str">
        <f>IFERROR(VLOOKUP(A244,Systems!A:B,2,FALSE),"Various")</f>
        <v>Piping common</v>
      </c>
      <c r="C244" s="11" t="s">
        <v>57</v>
      </c>
      <c r="D244" s="11"/>
      <c r="E244" s="11"/>
      <c r="F244" s="24" t="s">
        <v>1412</v>
      </c>
      <c r="G244" s="38"/>
      <c r="H244" s="11" t="s">
        <v>957</v>
      </c>
      <c r="I244" s="11"/>
      <c r="J244" s="11" t="s">
        <v>2052</v>
      </c>
      <c r="K244" s="11"/>
      <c r="L244" s="11"/>
      <c r="M244" s="11"/>
      <c r="N244" s="11"/>
      <c r="O244" s="11"/>
      <c r="P244" s="11"/>
      <c r="Q244" s="11"/>
      <c r="R244" s="11"/>
      <c r="S244" s="24" t="s">
        <v>30</v>
      </c>
      <c r="T244" s="24"/>
      <c r="U244" s="24" t="str">
        <f t="shared" si="5"/>
        <v/>
      </c>
      <c r="V244" s="24"/>
    </row>
    <row r="245" spans="1:22" ht="382.5">
      <c r="A245" s="10" t="s">
        <v>1229</v>
      </c>
      <c r="B245" s="11" t="str">
        <f>IFERROR(VLOOKUP(A245,Systems!A:B,2,FALSE),"Various")</f>
        <v>Remote controlled valves</v>
      </c>
      <c r="C245" s="11" t="s">
        <v>1230</v>
      </c>
      <c r="D245" s="11"/>
      <c r="E245" s="11"/>
      <c r="F245" s="24" t="s">
        <v>1412</v>
      </c>
      <c r="G245" s="38"/>
      <c r="H245" s="11" t="s">
        <v>1231</v>
      </c>
      <c r="I245" s="11"/>
      <c r="J245" s="11"/>
      <c r="K245" s="11"/>
      <c r="L245" s="11"/>
      <c r="M245" s="11"/>
      <c r="N245" s="11"/>
      <c r="O245" s="11"/>
      <c r="P245" s="11"/>
      <c r="Q245" s="11"/>
      <c r="R245" s="11"/>
      <c r="S245" s="24"/>
      <c r="T245" s="24"/>
      <c r="U245" s="24" t="str">
        <f t="shared" si="5"/>
        <v/>
      </c>
      <c r="V245" s="24"/>
    </row>
    <row r="246" spans="1:22" ht="165.75">
      <c r="A246" s="10" t="s">
        <v>1225</v>
      </c>
      <c r="B246" s="11" t="str">
        <f>IFERROR(VLOOKUP(A246,Systems!A:B,2,FALSE),"Various")</f>
        <v>Various</v>
      </c>
      <c r="C246" s="11" t="s">
        <v>963</v>
      </c>
      <c r="D246" s="11"/>
      <c r="E246" s="11"/>
      <c r="F246" s="24" t="s">
        <v>1412</v>
      </c>
      <c r="G246" s="38"/>
      <c r="H246" s="11" t="s">
        <v>958</v>
      </c>
      <c r="I246" s="11"/>
      <c r="J246" s="11"/>
      <c r="K246" s="11"/>
      <c r="L246" s="11"/>
      <c r="M246" s="11"/>
      <c r="N246" s="11"/>
      <c r="O246" s="11"/>
      <c r="P246" s="11" t="s">
        <v>961</v>
      </c>
      <c r="Q246" s="11"/>
      <c r="R246" s="11"/>
      <c r="S246" s="24"/>
      <c r="T246" s="24"/>
      <c r="U246" s="24" t="str">
        <f t="shared" si="5"/>
        <v/>
      </c>
      <c r="V246" s="24"/>
    </row>
    <row r="247" spans="1:22" ht="255">
      <c r="A247" s="10" t="s">
        <v>1225</v>
      </c>
      <c r="B247" s="11" t="str">
        <f>IFERROR(VLOOKUP(A247,Systems!A:B,2,FALSE),"Various")</f>
        <v>Various</v>
      </c>
      <c r="C247" s="11" t="s">
        <v>963</v>
      </c>
      <c r="D247" s="11"/>
      <c r="E247" s="11"/>
      <c r="F247" s="24" t="s">
        <v>1412</v>
      </c>
      <c r="G247" s="38"/>
      <c r="H247" s="11" t="s">
        <v>959</v>
      </c>
      <c r="I247" s="11"/>
      <c r="J247" s="11"/>
      <c r="K247" s="11"/>
      <c r="L247" s="11"/>
      <c r="M247" s="11"/>
      <c r="N247" s="11"/>
      <c r="O247" s="11"/>
      <c r="P247" s="11" t="s">
        <v>962</v>
      </c>
      <c r="Q247" s="11"/>
      <c r="R247" s="11"/>
      <c r="S247" s="24"/>
      <c r="T247" s="24"/>
      <c r="U247" s="24" t="str">
        <f t="shared" si="5"/>
        <v/>
      </c>
      <c r="V247" s="24"/>
    </row>
    <row r="248" spans="1:22" ht="357">
      <c r="A248" s="10" t="s">
        <v>1225</v>
      </c>
      <c r="B248" s="11" t="str">
        <f>IFERROR(VLOOKUP(A248,Systems!A:B,2,FALSE),"Various")</f>
        <v>Various</v>
      </c>
      <c r="C248" s="11" t="s">
        <v>56</v>
      </c>
      <c r="D248" s="11"/>
      <c r="E248" s="11"/>
      <c r="F248" s="24" t="s">
        <v>1412</v>
      </c>
      <c r="G248" s="38"/>
      <c r="H248" s="11" t="s">
        <v>960</v>
      </c>
      <c r="I248" s="11"/>
      <c r="J248" s="11"/>
      <c r="K248" s="11"/>
      <c r="L248" s="11"/>
      <c r="M248" s="11"/>
      <c r="N248" s="11"/>
      <c r="O248" s="11"/>
      <c r="P248" s="11" t="s">
        <v>964</v>
      </c>
      <c r="Q248" s="11"/>
      <c r="R248" s="11"/>
      <c r="S248" s="24"/>
      <c r="T248" s="24"/>
      <c r="U248" s="24" t="str">
        <f t="shared" si="5"/>
        <v/>
      </c>
      <c r="V248" s="24"/>
    </row>
    <row r="249" spans="1:22" ht="242.25">
      <c r="A249" s="10" t="s">
        <v>1225</v>
      </c>
      <c r="B249" s="11" t="str">
        <f>IFERROR(VLOOKUP(A249,Systems!A:B,2,FALSE),"Various")</f>
        <v>Various</v>
      </c>
      <c r="C249" s="11" t="s">
        <v>1233</v>
      </c>
      <c r="D249" s="11"/>
      <c r="E249" s="11"/>
      <c r="F249" s="24" t="s">
        <v>1412</v>
      </c>
      <c r="G249" s="38"/>
      <c r="H249" s="11" t="s">
        <v>1232</v>
      </c>
      <c r="I249" s="11"/>
      <c r="J249" s="11"/>
      <c r="K249" s="11"/>
      <c r="L249" s="11"/>
      <c r="M249" s="11"/>
      <c r="N249" s="11"/>
      <c r="O249" s="11"/>
      <c r="P249" s="11" t="s">
        <v>965</v>
      </c>
      <c r="Q249" s="11"/>
      <c r="R249" s="11"/>
      <c r="S249" s="24"/>
      <c r="T249" s="24"/>
      <c r="U249" s="24" t="str">
        <f t="shared" si="5"/>
        <v/>
      </c>
      <c r="V249" s="24"/>
    </row>
    <row r="250" spans="1:22" ht="165.75">
      <c r="A250" s="10" t="s">
        <v>1569</v>
      </c>
      <c r="B250" s="11" t="str">
        <f>IFERROR(VLOOKUP(A250,Systems!A:B,2,FALSE),"Various")</f>
        <v>Various</v>
      </c>
      <c r="C250" s="11" t="s">
        <v>1567</v>
      </c>
      <c r="D250" s="11"/>
      <c r="E250" s="11"/>
      <c r="F250" s="24" t="s">
        <v>1412</v>
      </c>
      <c r="G250" s="38"/>
      <c r="H250" s="11" t="s">
        <v>1568</v>
      </c>
      <c r="I250" s="11"/>
      <c r="J250" s="11"/>
      <c r="K250" s="11"/>
      <c r="L250" s="11"/>
      <c r="M250" s="11"/>
      <c r="N250" s="11"/>
      <c r="O250" s="11"/>
      <c r="P250" s="11" t="s">
        <v>966</v>
      </c>
      <c r="Q250" s="11"/>
      <c r="R250" s="11"/>
      <c r="S250" s="24"/>
      <c r="T250" s="24"/>
      <c r="U250" s="24" t="str">
        <f t="shared" si="5"/>
        <v/>
      </c>
      <c r="V250" s="24"/>
    </row>
    <row r="251" spans="1:22" ht="178.5">
      <c r="A251" s="10" t="s">
        <v>187</v>
      </c>
      <c r="B251" s="11" t="str">
        <f>IFERROR(VLOOKUP(A251,Systems!A:B,2,FALSE),"Various")</f>
        <v>Piping common</v>
      </c>
      <c r="C251" s="11" t="s">
        <v>967</v>
      </c>
      <c r="D251" s="11"/>
      <c r="E251" s="11"/>
      <c r="F251" s="24" t="s">
        <v>1412</v>
      </c>
      <c r="G251" s="38"/>
      <c r="H251" s="11" t="s">
        <v>1722</v>
      </c>
      <c r="I251" s="11"/>
      <c r="J251" s="11"/>
      <c r="K251" s="11"/>
      <c r="L251" s="11"/>
      <c r="M251" s="11"/>
      <c r="N251" s="11"/>
      <c r="O251" s="11"/>
      <c r="P251" s="11"/>
      <c r="Q251" s="11"/>
      <c r="R251" s="11"/>
      <c r="S251" s="24"/>
      <c r="T251" s="24"/>
      <c r="U251" s="24" t="str">
        <f t="shared" si="5"/>
        <v/>
      </c>
      <c r="V251" s="24"/>
    </row>
    <row r="252" spans="1:22" ht="165.75">
      <c r="A252" s="10" t="s">
        <v>242</v>
      </c>
      <c r="B252" s="11" t="str">
        <f>IFERROR(VLOOKUP(A252,Systems!A:B,2,FALSE),"Various")</f>
        <v>Sounding and de-aeration</v>
      </c>
      <c r="C252" s="11" t="s">
        <v>1220</v>
      </c>
      <c r="D252" s="11"/>
      <c r="E252" s="11"/>
      <c r="F252" s="24" t="s">
        <v>1412</v>
      </c>
      <c r="G252" s="38"/>
      <c r="H252" s="11" t="s">
        <v>1216</v>
      </c>
      <c r="I252" s="11"/>
      <c r="J252" s="11"/>
      <c r="K252" s="11"/>
      <c r="L252" s="11"/>
      <c r="M252" s="11"/>
      <c r="N252" s="11"/>
      <c r="O252" s="11"/>
      <c r="P252" s="11"/>
      <c r="Q252" s="11"/>
      <c r="R252" s="11"/>
      <c r="S252" s="24"/>
      <c r="T252" s="24"/>
      <c r="U252" s="24" t="str">
        <f t="shared" si="5"/>
        <v/>
      </c>
      <c r="V252" s="24"/>
    </row>
    <row r="253" spans="1:22" ht="38.25">
      <c r="A253" s="10" t="s">
        <v>568</v>
      </c>
      <c r="B253" s="11" t="str">
        <f>IFERROR(VLOOKUP(A253,Systems!A:B,2,FALSE),"Various")</f>
        <v>Cooling water system</v>
      </c>
      <c r="C253" s="11" t="s">
        <v>1730</v>
      </c>
      <c r="D253" s="11"/>
      <c r="E253" s="11"/>
      <c r="F253" s="24" t="s">
        <v>1412</v>
      </c>
      <c r="G253" s="38"/>
      <c r="H253" s="11" t="s">
        <v>1729</v>
      </c>
      <c r="I253" s="11"/>
      <c r="J253" s="11"/>
      <c r="K253" s="11"/>
      <c r="L253" s="11"/>
      <c r="M253" s="11"/>
      <c r="N253" s="11"/>
      <c r="O253" s="11"/>
      <c r="P253" s="11"/>
      <c r="Q253" s="11"/>
      <c r="R253" s="11"/>
      <c r="S253" s="24" t="s">
        <v>30</v>
      </c>
      <c r="T253" s="24"/>
      <c r="U253" s="24" t="str">
        <f t="shared" si="5"/>
        <v/>
      </c>
      <c r="V253" s="24"/>
    </row>
    <row r="254" spans="1:22" ht="114.75">
      <c r="A254" s="10" t="s">
        <v>1194</v>
      </c>
      <c r="B254" s="11" t="str">
        <f>IFERROR(VLOOKUP(A254,Systems!A:B,2,FALSE),"Various")</f>
        <v>Various</v>
      </c>
      <c r="C254" s="11" t="s">
        <v>1818</v>
      </c>
      <c r="D254" s="11"/>
      <c r="E254" s="11"/>
      <c r="F254" s="24" t="s">
        <v>1412</v>
      </c>
      <c r="G254" s="38"/>
      <c r="H254" s="11" t="s">
        <v>1819</v>
      </c>
      <c r="I254" s="11"/>
      <c r="J254" s="11"/>
      <c r="K254" s="11"/>
      <c r="L254" s="11"/>
      <c r="M254" s="11"/>
      <c r="N254" s="11"/>
      <c r="O254" s="11"/>
      <c r="P254" s="11"/>
      <c r="Q254" s="11"/>
      <c r="R254" s="11"/>
      <c r="S254" s="24" t="s">
        <v>30</v>
      </c>
      <c r="T254" s="24"/>
      <c r="U254" s="24" t="str">
        <f t="shared" si="5"/>
        <v/>
      </c>
      <c r="V254" s="24"/>
    </row>
    <row r="255" spans="1:22" ht="63.75">
      <c r="A255" s="10" t="s">
        <v>187</v>
      </c>
      <c r="B255" s="11" t="str">
        <f>IFERROR(VLOOKUP(A255,Systems!A:B,2,FALSE),"Various")</f>
        <v>Piping common</v>
      </c>
      <c r="C255" s="11" t="s">
        <v>1813</v>
      </c>
      <c r="D255" s="11"/>
      <c r="E255" s="11"/>
      <c r="F255" s="24" t="s">
        <v>1412</v>
      </c>
      <c r="G255" s="38"/>
      <c r="H255" s="11" t="s">
        <v>1814</v>
      </c>
      <c r="I255" s="11"/>
      <c r="J255" s="11"/>
      <c r="K255" s="11"/>
      <c r="L255" s="11"/>
      <c r="M255" s="11"/>
      <c r="N255" s="11"/>
      <c r="O255" s="11"/>
      <c r="P255" s="11"/>
      <c r="Q255" s="11"/>
      <c r="R255" s="11"/>
      <c r="S255" s="24" t="s">
        <v>30</v>
      </c>
      <c r="T255" s="24"/>
      <c r="U255" s="24" t="str">
        <f t="shared" si="5"/>
        <v/>
      </c>
      <c r="V255" s="24"/>
    </row>
    <row r="256" spans="1:22" ht="51">
      <c r="A256" s="10" t="s">
        <v>1817</v>
      </c>
      <c r="B256" s="11" t="str">
        <f>IFERROR(VLOOKUP(A256,Systems!A:B,2,FALSE),"Various")</f>
        <v>Various</v>
      </c>
      <c r="C256" s="11" t="s">
        <v>1816</v>
      </c>
      <c r="D256" s="11"/>
      <c r="E256" s="11"/>
      <c r="F256" s="24" t="s">
        <v>1412</v>
      </c>
      <c r="G256" s="38"/>
      <c r="H256" s="11" t="s">
        <v>1815</v>
      </c>
      <c r="I256" s="11"/>
      <c r="J256" s="11"/>
      <c r="K256" s="11"/>
      <c r="L256" s="11"/>
      <c r="M256" s="11"/>
      <c r="N256" s="11"/>
      <c r="O256" s="11"/>
      <c r="P256" s="11"/>
      <c r="Q256" s="11"/>
      <c r="R256" s="11"/>
      <c r="S256" s="24" t="s">
        <v>30</v>
      </c>
      <c r="T256" s="24"/>
      <c r="U256" s="24" t="str">
        <f t="shared" si="5"/>
        <v/>
      </c>
      <c r="V256" s="24"/>
    </row>
    <row r="257" spans="1:22" ht="127.5">
      <c r="A257" s="10" t="s">
        <v>1899</v>
      </c>
      <c r="B257" s="11" t="str">
        <f>IFERROR(VLOOKUP(A257,Systems!A:B,2,FALSE),"Various")</f>
        <v>Inspection of welded joints</v>
      </c>
      <c r="C257" s="11" t="s">
        <v>49</v>
      </c>
      <c r="D257" s="11"/>
      <c r="E257" s="11"/>
      <c r="F257" s="24" t="s">
        <v>1412</v>
      </c>
      <c r="G257" s="38"/>
      <c r="H257" s="11" t="s">
        <v>1907</v>
      </c>
      <c r="I257" s="11"/>
      <c r="J257" s="11"/>
      <c r="K257" s="11"/>
      <c r="L257" s="11"/>
      <c r="M257" s="11"/>
      <c r="N257" s="11"/>
      <c r="O257" s="11"/>
      <c r="P257" s="11"/>
      <c r="Q257" s="11"/>
      <c r="R257" s="11"/>
      <c r="S257" s="24" t="s">
        <v>30</v>
      </c>
      <c r="T257" s="24"/>
      <c r="U257" s="24" t="str">
        <f t="shared" si="5"/>
        <v/>
      </c>
      <c r="V257" s="24"/>
    </row>
    <row r="258" spans="1:22" ht="25.5">
      <c r="A258" s="10" t="s">
        <v>1899</v>
      </c>
      <c r="B258" s="11" t="str">
        <f>IFERROR(VLOOKUP(A258,Systems!A:B,2,FALSE),"Various")</f>
        <v>Inspection of welded joints</v>
      </c>
      <c r="C258" s="11" t="s">
        <v>1902</v>
      </c>
      <c r="D258" s="11"/>
      <c r="E258" s="11"/>
      <c r="F258" s="24" t="s">
        <v>1412</v>
      </c>
      <c r="G258" s="38"/>
      <c r="H258" s="11" t="s">
        <v>1901</v>
      </c>
      <c r="I258" s="11"/>
      <c r="J258" s="11"/>
      <c r="K258" s="11"/>
      <c r="L258" s="11"/>
      <c r="M258" s="11"/>
      <c r="N258" s="11"/>
      <c r="O258" s="11"/>
      <c r="P258" s="11"/>
      <c r="Q258" s="11"/>
      <c r="R258" s="11"/>
      <c r="S258" s="24" t="s">
        <v>30</v>
      </c>
      <c r="T258" s="24"/>
      <c r="U258" s="24" t="str">
        <f t="shared" si="5"/>
        <v/>
      </c>
      <c r="V258" s="24"/>
    </row>
    <row r="259" spans="1:22" ht="38.25">
      <c r="A259" s="10" t="s">
        <v>1899</v>
      </c>
      <c r="B259" s="11" t="str">
        <f>IFERROR(VLOOKUP(A259,Systems!A:B,2,FALSE),"Various")</f>
        <v>Inspection of welded joints</v>
      </c>
      <c r="C259" s="11" t="s">
        <v>1904</v>
      </c>
      <c r="D259" s="11"/>
      <c r="E259" s="11"/>
      <c r="F259" s="24" t="s">
        <v>1412</v>
      </c>
      <c r="G259" s="38"/>
      <c r="H259" s="11" t="s">
        <v>1903</v>
      </c>
      <c r="I259" s="11"/>
      <c r="J259" s="11"/>
      <c r="K259" s="11"/>
      <c r="L259" s="11"/>
      <c r="M259" s="11"/>
      <c r="N259" s="11"/>
      <c r="O259" s="11"/>
      <c r="P259" s="11"/>
      <c r="Q259" s="11"/>
      <c r="R259" s="11"/>
      <c r="S259" s="24" t="s">
        <v>30</v>
      </c>
      <c r="T259" s="24"/>
      <c r="U259" s="24" t="str">
        <f t="shared" si="5"/>
        <v/>
      </c>
      <c r="V259" s="24"/>
    </row>
    <row r="260" spans="1:22" ht="318.75">
      <c r="A260" s="10" t="s">
        <v>1899</v>
      </c>
      <c r="B260" s="11" t="str">
        <f>IFERROR(VLOOKUP(A260,Systems!A:B,2,FALSE),"Various")</f>
        <v>Inspection of welded joints</v>
      </c>
      <c r="C260" s="11" t="s">
        <v>1906</v>
      </c>
      <c r="D260" s="11"/>
      <c r="E260" s="11"/>
      <c r="F260" s="24" t="s">
        <v>1412</v>
      </c>
      <c r="G260" s="38"/>
      <c r="H260" s="11" t="s">
        <v>1905</v>
      </c>
      <c r="I260" s="11"/>
      <c r="J260" s="11"/>
      <c r="K260" s="11"/>
      <c r="L260" s="11"/>
      <c r="M260" s="11"/>
      <c r="N260" s="11"/>
      <c r="O260" s="11"/>
      <c r="P260" s="11"/>
      <c r="Q260" s="11"/>
      <c r="R260" s="11"/>
      <c r="S260" s="24" t="s">
        <v>30</v>
      </c>
      <c r="T260" s="24"/>
      <c r="U260" s="24" t="str">
        <f t="shared" si="5"/>
        <v/>
      </c>
      <c r="V260" s="24"/>
    </row>
    <row r="261" spans="1:22" ht="178.5">
      <c r="A261" s="10" t="s">
        <v>1708</v>
      </c>
      <c r="B261" s="11" t="str">
        <f>IFERROR(VLOOKUP(A261,Systems!A:B,2,FALSE),"Various")</f>
        <v>Various</v>
      </c>
      <c r="C261" s="11" t="s">
        <v>1707</v>
      </c>
      <c r="D261" s="11"/>
      <c r="E261" s="11"/>
      <c r="F261" s="24" t="s">
        <v>1412</v>
      </c>
      <c r="G261" s="38"/>
      <c r="H261" s="11" t="s">
        <v>1709</v>
      </c>
      <c r="I261" s="11"/>
      <c r="J261" s="11"/>
      <c r="K261" s="11"/>
      <c r="L261" s="11"/>
      <c r="M261" s="11"/>
      <c r="N261" s="11"/>
      <c r="O261" s="11"/>
      <c r="P261" s="11"/>
      <c r="Q261" s="11"/>
      <c r="R261" s="11"/>
      <c r="S261" s="24" t="s">
        <v>30</v>
      </c>
      <c r="T261" s="24"/>
      <c r="U261" s="24" t="str">
        <f t="shared" si="5"/>
        <v/>
      </c>
      <c r="V261" s="24"/>
    </row>
    <row r="262" spans="1:22" ht="63.75">
      <c r="A262" s="10" t="s">
        <v>1708</v>
      </c>
      <c r="B262" s="11" t="str">
        <f>IFERROR(VLOOKUP(A262,Systems!A:B,2,FALSE),"Various")</f>
        <v>Various</v>
      </c>
      <c r="C262" s="11" t="s">
        <v>1711</v>
      </c>
      <c r="D262" s="11"/>
      <c r="E262" s="11"/>
      <c r="F262" s="24" t="s">
        <v>1412</v>
      </c>
      <c r="G262" s="38"/>
      <c r="H262" s="11" t="s">
        <v>1710</v>
      </c>
      <c r="I262" s="11"/>
      <c r="J262" s="11"/>
      <c r="K262" s="11"/>
      <c r="L262" s="11"/>
      <c r="M262" s="11"/>
      <c r="N262" s="11"/>
      <c r="O262" s="11"/>
      <c r="P262" s="11"/>
      <c r="Q262" s="11"/>
      <c r="R262" s="11"/>
      <c r="S262" s="24" t="s">
        <v>30</v>
      </c>
      <c r="T262" s="24"/>
      <c r="U262" s="24" t="str">
        <f t="shared" si="5"/>
        <v/>
      </c>
      <c r="V262" s="24"/>
    </row>
    <row r="263" spans="1:22" ht="409.5">
      <c r="A263" s="10" t="s">
        <v>1708</v>
      </c>
      <c r="B263" s="11" t="str">
        <f>IFERROR(VLOOKUP(A263,Systems!A:B,2,FALSE),"Various")</f>
        <v>Various</v>
      </c>
      <c r="C263" s="11" t="s">
        <v>1712</v>
      </c>
      <c r="D263" s="11"/>
      <c r="E263" s="11"/>
      <c r="F263" s="24" t="s">
        <v>1412</v>
      </c>
      <c r="G263" s="38"/>
      <c r="H263" s="11" t="s">
        <v>1713</v>
      </c>
      <c r="I263" s="11"/>
      <c r="J263" s="11"/>
      <c r="K263" s="11"/>
      <c r="L263" s="11"/>
      <c r="M263" s="11"/>
      <c r="N263" s="11"/>
      <c r="O263" s="11"/>
      <c r="P263" s="11"/>
      <c r="Q263" s="11"/>
      <c r="R263" s="11"/>
      <c r="S263" s="24" t="s">
        <v>30</v>
      </c>
      <c r="T263" s="24"/>
      <c r="U263" s="24" t="str">
        <f t="shared" si="5"/>
        <v/>
      </c>
      <c r="V263" s="24"/>
    </row>
    <row r="264" spans="1:22" ht="318.75">
      <c r="A264" s="10" t="s">
        <v>2013</v>
      </c>
      <c r="B264" s="11" t="str">
        <f>IFERROR(VLOOKUP(A264,Systems!A:B,2,FALSE),"Various")</f>
        <v>Various</v>
      </c>
      <c r="C264" s="11" t="s">
        <v>1714</v>
      </c>
      <c r="D264" s="11"/>
      <c r="E264" s="11"/>
      <c r="F264" s="24" t="s">
        <v>1412</v>
      </c>
      <c r="G264" s="38"/>
      <c r="H264" s="11" t="s">
        <v>1715</v>
      </c>
      <c r="I264" s="11"/>
      <c r="J264" s="11" t="s">
        <v>2014</v>
      </c>
      <c r="K264" s="11"/>
      <c r="L264" s="11"/>
      <c r="M264" s="11"/>
      <c r="N264" s="11"/>
      <c r="O264" s="11"/>
      <c r="P264" s="11"/>
      <c r="Q264" s="11"/>
      <c r="R264" s="11"/>
      <c r="S264" s="24" t="s">
        <v>30</v>
      </c>
      <c r="T264" s="24" t="s">
        <v>30</v>
      </c>
      <c r="U264" s="24" t="str">
        <f t="shared" si="5"/>
        <v/>
      </c>
      <c r="V264" s="24"/>
    </row>
    <row r="265" spans="1:22" ht="102">
      <c r="A265" s="10" t="s">
        <v>181</v>
      </c>
      <c r="B265" s="11" t="str">
        <f>IFERROR(VLOOKUP(A265,Systems!A:B,2,FALSE),"Various")</f>
        <v>Sludge system</v>
      </c>
      <c r="C265" s="11" t="s">
        <v>417</v>
      </c>
      <c r="D265" s="11"/>
      <c r="E265" s="11"/>
      <c r="F265" s="24" t="s">
        <v>1412</v>
      </c>
      <c r="G265" s="38"/>
      <c r="H265" s="11" t="s">
        <v>1716</v>
      </c>
      <c r="I265" s="11"/>
      <c r="J265" s="11" t="s">
        <v>2015</v>
      </c>
      <c r="K265" s="11"/>
      <c r="L265" s="11"/>
      <c r="M265" s="11"/>
      <c r="N265" s="11"/>
      <c r="O265" s="11"/>
      <c r="P265" s="11"/>
      <c r="Q265" s="11"/>
      <c r="R265" s="11"/>
      <c r="S265" s="24" t="s">
        <v>30</v>
      </c>
      <c r="T265" s="24"/>
      <c r="U265" s="24"/>
      <c r="V265" s="24"/>
    </row>
    <row r="266" spans="1:22" ht="51">
      <c r="A266" s="10" t="s">
        <v>1708</v>
      </c>
      <c r="B266" s="11" t="str">
        <f>IFERROR(VLOOKUP(A266,Systems!A:B,2,FALSE),"Various")</f>
        <v>Various</v>
      </c>
      <c r="C266" s="11" t="s">
        <v>1125</v>
      </c>
      <c r="D266" s="11"/>
      <c r="E266" s="11"/>
      <c r="F266" s="24" t="s">
        <v>1412</v>
      </c>
      <c r="G266" s="38"/>
      <c r="H266" s="11" t="s">
        <v>1717</v>
      </c>
      <c r="I266" s="11"/>
      <c r="J266" s="11" t="s">
        <v>2016</v>
      </c>
      <c r="K266" s="11"/>
      <c r="L266" s="11"/>
      <c r="M266" s="11"/>
      <c r="N266" s="11"/>
      <c r="O266" s="11"/>
      <c r="P266" s="11"/>
      <c r="Q266" s="11"/>
      <c r="R266" s="11"/>
      <c r="S266" s="24" t="s">
        <v>30</v>
      </c>
      <c r="T266" s="24"/>
      <c r="U266" s="24"/>
      <c r="V266" s="24"/>
    </row>
    <row r="267" spans="1:22" ht="38.25">
      <c r="A267" s="10" t="s">
        <v>1708</v>
      </c>
      <c r="B267" s="11" t="str">
        <f>IFERROR(VLOOKUP(A267,Systems!A:B,2,FALSE),"Various")</f>
        <v>Various</v>
      </c>
      <c r="C267" s="11" t="s">
        <v>1719</v>
      </c>
      <c r="D267" s="11"/>
      <c r="E267" s="11"/>
      <c r="F267" s="24" t="s">
        <v>1412</v>
      </c>
      <c r="G267" s="38"/>
      <c r="H267" s="11" t="s">
        <v>1718</v>
      </c>
      <c r="I267" s="11"/>
      <c r="J267" s="11" t="s">
        <v>2017</v>
      </c>
      <c r="K267" s="11"/>
      <c r="L267" s="11"/>
      <c r="M267" s="11"/>
      <c r="N267" s="11"/>
      <c r="O267" s="11"/>
      <c r="P267" s="11"/>
      <c r="Q267" s="11"/>
      <c r="R267" s="11"/>
      <c r="S267" s="24" t="s">
        <v>30</v>
      </c>
      <c r="T267" s="24"/>
      <c r="U267" s="24"/>
      <c r="V267" s="24"/>
    </row>
    <row r="268" spans="1:22" ht="51">
      <c r="A268" s="10" t="s">
        <v>187</v>
      </c>
      <c r="B268" s="11" t="str">
        <f>IFERROR(VLOOKUP(A268,Systems!A:B,2,FALSE),"Various")</f>
        <v>Piping common</v>
      </c>
      <c r="C268" s="11" t="s">
        <v>48</v>
      </c>
      <c r="D268" s="11"/>
      <c r="E268" s="11"/>
      <c r="F268" s="24" t="s">
        <v>1412</v>
      </c>
      <c r="G268" s="38"/>
      <c r="H268" s="11" t="s">
        <v>300</v>
      </c>
      <c r="I268" s="11"/>
      <c r="J268" s="11"/>
      <c r="K268" s="11"/>
      <c r="L268" s="11"/>
      <c r="M268" s="11"/>
      <c r="N268" s="11"/>
      <c r="O268" s="11"/>
      <c r="P268" s="11" t="s">
        <v>300</v>
      </c>
      <c r="Q268" s="11"/>
      <c r="R268" s="11"/>
      <c r="S268" s="24" t="s">
        <v>30</v>
      </c>
      <c r="T268" s="24"/>
      <c r="U268" s="24"/>
      <c r="V268" s="24"/>
    </row>
    <row r="269" spans="1:22" ht="306">
      <c r="A269" s="10" t="s">
        <v>2320</v>
      </c>
      <c r="B269" s="11" t="str">
        <f>IFERROR(VLOOKUP(A269,Systems!A:B,2,FALSE),"Various")</f>
        <v>Various</v>
      </c>
      <c r="C269" s="11" t="s">
        <v>928</v>
      </c>
      <c r="D269" s="11"/>
      <c r="E269" s="11"/>
      <c r="F269" s="24" t="s">
        <v>1412</v>
      </c>
      <c r="G269" s="38"/>
      <c r="H269" s="11" t="s">
        <v>1191</v>
      </c>
      <c r="I269" s="11"/>
      <c r="J269" s="11" t="s">
        <v>2319</v>
      </c>
      <c r="K269" s="11"/>
      <c r="L269" s="11"/>
      <c r="M269" s="11"/>
      <c r="N269" s="11"/>
      <c r="O269" s="11" t="s">
        <v>658</v>
      </c>
      <c r="P269" s="11" t="s">
        <v>227</v>
      </c>
      <c r="Q269" s="11"/>
      <c r="R269" s="11"/>
      <c r="S269" s="24" t="s">
        <v>30</v>
      </c>
      <c r="T269" s="24"/>
      <c r="U269" s="24"/>
      <c r="V269" s="24"/>
    </row>
    <row r="270" spans="1:22" ht="318.75">
      <c r="A270" s="10" t="s">
        <v>187</v>
      </c>
      <c r="B270" s="11" t="str">
        <f>IFERROR(VLOOKUP(A270,Systems!A:B,2,FALSE),"Various")</f>
        <v>Piping common</v>
      </c>
      <c r="C270" s="11" t="s">
        <v>48</v>
      </c>
      <c r="D270" s="11"/>
      <c r="E270" s="11"/>
      <c r="F270" s="24" t="s">
        <v>1412</v>
      </c>
      <c r="G270" s="38"/>
      <c r="H270" s="11" t="s">
        <v>2043</v>
      </c>
      <c r="I270" s="11"/>
      <c r="J270" s="11" t="s">
        <v>2045</v>
      </c>
      <c r="K270" s="11"/>
      <c r="L270" s="11"/>
      <c r="M270" s="11"/>
      <c r="N270" s="11"/>
      <c r="O270" s="11"/>
      <c r="P270" s="11" t="s">
        <v>301</v>
      </c>
      <c r="Q270" s="11"/>
      <c r="R270" s="11"/>
      <c r="S270" s="24" t="s">
        <v>30</v>
      </c>
      <c r="T270" s="24"/>
      <c r="U270" s="24"/>
      <c r="V270" s="24"/>
    </row>
    <row r="271" spans="1:22" ht="331.5">
      <c r="A271" s="10" t="s">
        <v>187</v>
      </c>
      <c r="B271" s="11" t="str">
        <f>IFERROR(VLOOKUP(A271,Systems!A:B,2,FALSE),"Various")</f>
        <v>Piping common</v>
      </c>
      <c r="C271" s="11" t="s">
        <v>48</v>
      </c>
      <c r="D271" s="11"/>
      <c r="E271" s="11"/>
      <c r="F271" s="24" t="s">
        <v>1412</v>
      </c>
      <c r="G271" s="38"/>
      <c r="H271" s="11" t="s">
        <v>2044</v>
      </c>
      <c r="I271" s="11"/>
      <c r="J271" s="11" t="s">
        <v>2046</v>
      </c>
      <c r="K271" s="11"/>
      <c r="L271" s="11"/>
      <c r="M271" s="11"/>
      <c r="N271" s="11"/>
      <c r="O271" s="11"/>
      <c r="P271" s="11" t="s">
        <v>302</v>
      </c>
      <c r="Q271" s="11"/>
      <c r="R271" s="11"/>
      <c r="S271" s="24" t="s">
        <v>30</v>
      </c>
      <c r="T271" s="24"/>
      <c r="U271" s="24"/>
      <c r="V271" s="24"/>
    </row>
    <row r="272" spans="1:22" ht="216.75">
      <c r="A272" s="10" t="s">
        <v>224</v>
      </c>
      <c r="B272" s="11" t="str">
        <f>IFERROR(VLOOKUP(A272,Systems!A:B,2,FALSE),"Various")</f>
        <v>Bilge system</v>
      </c>
      <c r="C272" s="11" t="s">
        <v>927</v>
      </c>
      <c r="D272" s="11"/>
      <c r="E272" s="11"/>
      <c r="F272" s="24" t="s">
        <v>1412</v>
      </c>
      <c r="G272" s="38"/>
      <c r="H272" s="11" t="s">
        <v>2318</v>
      </c>
      <c r="I272" s="11"/>
      <c r="J272" s="11" t="s">
        <v>1976</v>
      </c>
      <c r="K272" s="11"/>
      <c r="L272" s="11"/>
      <c r="M272" s="11"/>
      <c r="N272" s="11"/>
      <c r="O272" s="11" t="s">
        <v>657</v>
      </c>
      <c r="P272" s="11" t="s">
        <v>228</v>
      </c>
      <c r="Q272" s="11"/>
      <c r="R272" s="11"/>
      <c r="S272" s="24" t="s">
        <v>30</v>
      </c>
      <c r="T272" s="24"/>
      <c r="U272" s="24"/>
      <c r="V272" s="24"/>
    </row>
    <row r="273" spans="1:22" ht="165.75">
      <c r="A273" s="10" t="s">
        <v>1754</v>
      </c>
      <c r="B273" s="11" t="str">
        <f>IFERROR(VLOOKUP(A273,Systems!A:B,2,FALSE),"Various")</f>
        <v>Various</v>
      </c>
      <c r="C273" s="11" t="s">
        <v>1763</v>
      </c>
      <c r="D273" s="11"/>
      <c r="E273" s="11"/>
      <c r="F273" s="24" t="s">
        <v>1412</v>
      </c>
      <c r="G273" s="38"/>
      <c r="H273" s="11" t="s">
        <v>1764</v>
      </c>
      <c r="I273" s="11"/>
      <c r="J273" s="11"/>
      <c r="K273" s="11"/>
      <c r="L273" s="11"/>
      <c r="M273" s="11"/>
      <c r="N273" s="11"/>
      <c r="O273" s="11"/>
      <c r="P273" s="11"/>
      <c r="Q273" s="11"/>
      <c r="R273" s="11"/>
      <c r="S273" s="24"/>
      <c r="T273" s="24"/>
      <c r="U273" s="24"/>
      <c r="V273" s="24"/>
    </row>
    <row r="274" spans="1:22" ht="51">
      <c r="A274" s="10" t="s">
        <v>1754</v>
      </c>
      <c r="B274" s="11" t="str">
        <f>IFERROR(VLOOKUP(A274,Systems!A:B,2,FALSE),"Various")</f>
        <v>Various</v>
      </c>
      <c r="C274" s="11" t="s">
        <v>1765</v>
      </c>
      <c r="D274" s="11"/>
      <c r="E274" s="11"/>
      <c r="F274" s="24" t="s">
        <v>1412</v>
      </c>
      <c r="G274" s="38"/>
      <c r="H274" s="11" t="s">
        <v>1768</v>
      </c>
      <c r="I274" s="11"/>
      <c r="J274" s="11"/>
      <c r="K274" s="11"/>
      <c r="L274" s="11"/>
      <c r="M274" s="11"/>
      <c r="N274" s="11"/>
      <c r="O274" s="11"/>
      <c r="P274" s="11"/>
      <c r="Q274" s="11"/>
      <c r="R274" s="11"/>
      <c r="S274" s="24" t="s">
        <v>30</v>
      </c>
      <c r="T274" s="24"/>
      <c r="U274" s="24"/>
      <c r="V274" s="24"/>
    </row>
    <row r="275" spans="1:22" ht="395.25">
      <c r="A275" s="10" t="s">
        <v>1754</v>
      </c>
      <c r="B275" s="11" t="str">
        <f>IFERROR(VLOOKUP(A275,Systems!A:B,2,FALSE),"Various")</f>
        <v>Various</v>
      </c>
      <c r="C275" s="11" t="s">
        <v>1766</v>
      </c>
      <c r="D275" s="11"/>
      <c r="E275" s="11"/>
      <c r="F275" s="24" t="s">
        <v>1412</v>
      </c>
      <c r="G275" s="38"/>
      <c r="H275" s="11" t="s">
        <v>1769</v>
      </c>
      <c r="I275" s="11"/>
      <c r="J275" s="11"/>
      <c r="K275" s="11"/>
      <c r="L275" s="11"/>
      <c r="M275" s="11"/>
      <c r="N275" s="11"/>
      <c r="O275" s="11"/>
      <c r="P275" s="11"/>
      <c r="Q275" s="11"/>
      <c r="R275" s="11"/>
      <c r="S275" s="24" t="s">
        <v>30</v>
      </c>
      <c r="T275" s="24"/>
      <c r="U275" s="24"/>
      <c r="V275" s="24"/>
    </row>
    <row r="276" spans="1:22" ht="51">
      <c r="A276" s="10" t="s">
        <v>1229</v>
      </c>
      <c r="B276" s="11" t="str">
        <f>IFERROR(VLOOKUP(A276,Systems!A:B,2,FALSE),"Various")</f>
        <v>Remote controlled valves</v>
      </c>
      <c r="C276" s="11" t="s">
        <v>1424</v>
      </c>
      <c r="D276" s="11"/>
      <c r="E276" s="11"/>
      <c r="F276" s="24" t="s">
        <v>1412</v>
      </c>
      <c r="G276" s="38"/>
      <c r="H276" s="11" t="s">
        <v>1518</v>
      </c>
      <c r="I276" s="11"/>
      <c r="J276" s="11"/>
      <c r="K276" s="11"/>
      <c r="L276" s="11"/>
      <c r="M276" s="11"/>
      <c r="N276" s="11"/>
      <c r="O276" s="11"/>
      <c r="P276" s="11"/>
      <c r="Q276" s="11"/>
      <c r="R276" s="11"/>
      <c r="S276" s="24" t="s">
        <v>30</v>
      </c>
      <c r="T276" s="24"/>
      <c r="U276" s="24" t="str">
        <f>IF(OR(NOT(H276=""),NOT(M276="")),"","x")</f>
        <v/>
      </c>
      <c r="V276" s="24"/>
    </row>
    <row r="277" spans="1:22" ht="63.75">
      <c r="A277" s="10" t="s">
        <v>1229</v>
      </c>
      <c r="B277" s="11" t="str">
        <f>IFERROR(VLOOKUP(A277,Systems!A:B,2,FALSE),"Various")</f>
        <v>Remote controlled valves</v>
      </c>
      <c r="C277" s="11" t="s">
        <v>1425</v>
      </c>
      <c r="D277" s="11"/>
      <c r="E277" s="11"/>
      <c r="F277" s="24" t="s">
        <v>1412</v>
      </c>
      <c r="G277" s="38"/>
      <c r="H277" s="11" t="s">
        <v>1519</v>
      </c>
      <c r="I277" s="11"/>
      <c r="J277" s="11"/>
      <c r="K277" s="11"/>
      <c r="L277" s="11"/>
      <c r="M277" s="11"/>
      <c r="N277" s="11"/>
      <c r="O277" s="11"/>
      <c r="P277" s="11"/>
      <c r="Q277" s="11"/>
      <c r="R277" s="11"/>
      <c r="S277" s="24" t="s">
        <v>30</v>
      </c>
      <c r="T277" s="24"/>
      <c r="U277" s="24" t="str">
        <f>IF(OR(NOT(H277=""),NOT(M277="")),"","x")</f>
        <v/>
      </c>
      <c r="V277" s="24"/>
    </row>
    <row r="278" spans="1:22" ht="76.5">
      <c r="A278" s="10" t="s">
        <v>1225</v>
      </c>
      <c r="B278" s="11" t="str">
        <f>IFERROR(VLOOKUP(A278,Systems!A:B,2,FALSE),"Various")</f>
        <v>Various</v>
      </c>
      <c r="C278" s="11" t="s">
        <v>1224</v>
      </c>
      <c r="D278" s="11"/>
      <c r="E278" s="11"/>
      <c r="F278" s="24" t="s">
        <v>1412</v>
      </c>
      <c r="G278" s="38"/>
      <c r="H278" s="11" t="s">
        <v>1226</v>
      </c>
      <c r="I278" s="11"/>
      <c r="J278" s="11"/>
      <c r="K278" s="11"/>
      <c r="L278" s="11"/>
      <c r="M278" s="11"/>
      <c r="N278" s="11"/>
      <c r="O278" s="11"/>
      <c r="P278" s="11"/>
      <c r="Q278" s="11"/>
      <c r="R278" s="11"/>
      <c r="S278" s="24" t="s">
        <v>30</v>
      </c>
      <c r="T278" s="24"/>
      <c r="U278" s="24" t="str">
        <f>IF(OR(NOT(H278=""),NOT(M278="")),"","x")</f>
        <v/>
      </c>
      <c r="V278" s="24"/>
    </row>
    <row r="279" spans="1:22" ht="89.25">
      <c r="A279" s="10" t="s">
        <v>1754</v>
      </c>
      <c r="B279" s="11" t="str">
        <f>IFERROR(VLOOKUP(A279,Systems!A:B,2,FALSE),"Various")</f>
        <v>Various</v>
      </c>
      <c r="C279" s="11" t="s">
        <v>1767</v>
      </c>
      <c r="D279" s="11"/>
      <c r="E279" s="11"/>
      <c r="F279" s="24" t="s">
        <v>1412</v>
      </c>
      <c r="G279" s="38"/>
      <c r="H279" s="11" t="s">
        <v>1770</v>
      </c>
      <c r="I279" s="11"/>
      <c r="J279" s="11"/>
      <c r="K279" s="11"/>
      <c r="L279" s="11"/>
      <c r="M279" s="11"/>
      <c r="N279" s="11"/>
      <c r="O279" s="11"/>
      <c r="P279" s="11"/>
      <c r="Q279" s="11"/>
      <c r="R279" s="11"/>
      <c r="S279" s="24" t="s">
        <v>1305</v>
      </c>
      <c r="T279" s="24"/>
      <c r="U279" s="24"/>
      <c r="V279" s="24"/>
    </row>
    <row r="280" spans="1:22" ht="25.5">
      <c r="A280" s="10" t="s">
        <v>304</v>
      </c>
      <c r="B280" s="11" t="str">
        <f>IFERROR(VLOOKUP(A280,Systems!A:B,2,FALSE),"Various")</f>
        <v>Bilge / ballast / internal fifi</v>
      </c>
      <c r="C280" s="11" t="s">
        <v>1211</v>
      </c>
      <c r="D280" s="11"/>
      <c r="E280" s="11"/>
      <c r="F280" s="24" t="s">
        <v>1412</v>
      </c>
      <c r="G280" s="38"/>
      <c r="H280" s="11" t="s">
        <v>1212</v>
      </c>
      <c r="I280" s="11"/>
      <c r="J280" s="11"/>
      <c r="K280" s="11"/>
      <c r="L280" s="11"/>
      <c r="M280" s="11"/>
      <c r="N280" s="11"/>
      <c r="O280" s="11"/>
      <c r="P280" s="11"/>
      <c r="Q280" s="11"/>
      <c r="R280" s="11"/>
      <c r="S280" s="24"/>
      <c r="T280" s="24"/>
      <c r="U280" s="24"/>
      <c r="V280" s="24"/>
    </row>
    <row r="281" spans="1:22" ht="25.5">
      <c r="A281" s="10" t="s">
        <v>304</v>
      </c>
      <c r="B281" s="11" t="str">
        <f>IFERROR(VLOOKUP(A281,Systems!A:B,2,FALSE),"Various")</f>
        <v>Bilge / ballast / internal fifi</v>
      </c>
      <c r="C281" s="11" t="s">
        <v>1211</v>
      </c>
      <c r="D281" s="11"/>
      <c r="E281" s="11"/>
      <c r="F281" s="24" t="s">
        <v>1412</v>
      </c>
      <c r="G281" s="38"/>
      <c r="H281" s="11" t="s">
        <v>1213</v>
      </c>
      <c r="I281" s="11"/>
      <c r="J281" s="11"/>
      <c r="K281" s="11"/>
      <c r="L281" s="11"/>
      <c r="M281" s="11"/>
      <c r="N281" s="11"/>
      <c r="O281" s="11"/>
      <c r="P281" s="11"/>
      <c r="Q281" s="11"/>
      <c r="R281" s="11"/>
      <c r="S281" s="24" t="s">
        <v>30</v>
      </c>
      <c r="T281" s="24"/>
      <c r="U281" s="24"/>
      <c r="V281" s="24"/>
    </row>
    <row r="282" spans="1:22" ht="63.75">
      <c r="A282" s="10" t="s">
        <v>187</v>
      </c>
      <c r="B282" s="11" t="str">
        <f>IFERROR(VLOOKUP(A282,Systems!A:B,2,FALSE),"Various")</f>
        <v>Piping common</v>
      </c>
      <c r="C282" s="11" t="s">
        <v>1694</v>
      </c>
      <c r="D282" s="11"/>
      <c r="E282" s="11"/>
      <c r="F282" s="24" t="s">
        <v>1412</v>
      </c>
      <c r="G282" s="38"/>
      <c r="H282" s="11" t="s">
        <v>1705</v>
      </c>
      <c r="I282" s="11"/>
      <c r="J282" s="11"/>
      <c r="K282" s="11"/>
      <c r="L282" s="11"/>
      <c r="M282" s="11"/>
      <c r="N282" s="11"/>
      <c r="O282" s="11"/>
      <c r="P282" s="11"/>
      <c r="Q282" s="11"/>
      <c r="R282" s="11"/>
      <c r="S282" s="24"/>
      <c r="T282" s="24"/>
      <c r="U282" s="24"/>
      <c r="V282" s="24"/>
    </row>
    <row r="283" spans="1:22" ht="127.5">
      <c r="A283" s="10" t="s">
        <v>187</v>
      </c>
      <c r="B283" s="11" t="str">
        <f>IFERROR(VLOOKUP(A283,Systems!A:B,2,FALSE),"Various")</f>
        <v>Piping common</v>
      </c>
      <c r="C283" s="11" t="s">
        <v>1696</v>
      </c>
      <c r="D283" s="11"/>
      <c r="E283" s="11"/>
      <c r="F283" s="24" t="s">
        <v>1412</v>
      </c>
      <c r="G283" s="38"/>
      <c r="H283" s="11" t="s">
        <v>1695</v>
      </c>
      <c r="I283" s="11"/>
      <c r="J283" s="11"/>
      <c r="K283" s="11"/>
      <c r="L283" s="11"/>
      <c r="M283" s="11"/>
      <c r="N283" s="11"/>
      <c r="O283" s="11"/>
      <c r="P283" s="11"/>
      <c r="Q283" s="11"/>
      <c r="R283" s="11"/>
      <c r="S283" s="24" t="s">
        <v>30</v>
      </c>
      <c r="T283" s="24"/>
      <c r="U283" s="24"/>
      <c r="V283" s="24"/>
    </row>
    <row r="284" spans="1:22" ht="409.5">
      <c r="A284" s="10" t="s">
        <v>187</v>
      </c>
      <c r="B284" s="11" t="str">
        <f>IFERROR(VLOOKUP(A284,Systems!A:B,2,FALSE),"Various")</f>
        <v>Piping common</v>
      </c>
      <c r="C284" s="11" t="s">
        <v>1697</v>
      </c>
      <c r="D284" s="11"/>
      <c r="E284" s="11"/>
      <c r="F284" s="24" t="s">
        <v>1412</v>
      </c>
      <c r="G284" s="38"/>
      <c r="H284" s="11" t="s">
        <v>1698</v>
      </c>
      <c r="I284" s="11"/>
      <c r="J284" s="11"/>
      <c r="K284" s="11"/>
      <c r="L284" s="11"/>
      <c r="M284" s="11"/>
      <c r="N284" s="11"/>
      <c r="O284" s="11"/>
      <c r="P284" s="11"/>
      <c r="Q284" s="11"/>
      <c r="R284" s="11"/>
      <c r="S284" s="24" t="s">
        <v>30</v>
      </c>
      <c r="T284" s="24"/>
      <c r="U284" s="24"/>
      <c r="V284" s="24"/>
    </row>
    <row r="285" spans="1:22" ht="63.75">
      <c r="A285" s="10" t="s">
        <v>1706</v>
      </c>
      <c r="B285" s="11" t="str">
        <f>IFERROR(VLOOKUP(A285,Systems!A:B,2,FALSE),"Various")</f>
        <v>Various</v>
      </c>
      <c r="C285" s="11" t="s">
        <v>1700</v>
      </c>
      <c r="D285" s="11"/>
      <c r="E285" s="11"/>
      <c r="F285" s="24" t="s">
        <v>1412</v>
      </c>
      <c r="G285" s="38"/>
      <c r="H285" s="11" t="s">
        <v>1699</v>
      </c>
      <c r="I285" s="11"/>
      <c r="J285" s="11"/>
      <c r="K285" s="11"/>
      <c r="L285" s="11"/>
      <c r="M285" s="11"/>
      <c r="N285" s="11"/>
      <c r="O285" s="11"/>
      <c r="P285" s="11"/>
      <c r="Q285" s="11"/>
      <c r="R285" s="11"/>
      <c r="S285" s="24"/>
      <c r="T285" s="24"/>
      <c r="U285" s="24"/>
      <c r="V285" s="24"/>
    </row>
    <row r="286" spans="1:22" ht="63.75">
      <c r="A286" s="10" t="s">
        <v>187</v>
      </c>
      <c r="B286" s="11" t="str">
        <f>IFERROR(VLOOKUP(A286,Systems!A:B,2,FALSE),"Various")</f>
        <v>Piping common</v>
      </c>
      <c r="C286" s="11" t="s">
        <v>1702</v>
      </c>
      <c r="D286" s="11"/>
      <c r="E286" s="11"/>
      <c r="F286" s="24" t="s">
        <v>1412</v>
      </c>
      <c r="G286" s="38"/>
      <c r="H286" s="11" t="s">
        <v>1701</v>
      </c>
      <c r="I286" s="11"/>
      <c r="J286" s="11"/>
      <c r="K286" s="11"/>
      <c r="L286" s="11"/>
      <c r="M286" s="11"/>
      <c r="N286" s="11"/>
      <c r="O286" s="11"/>
      <c r="P286" s="11"/>
      <c r="Q286" s="11"/>
      <c r="R286" s="11"/>
      <c r="S286" s="24"/>
      <c r="T286" s="24"/>
      <c r="U286" s="24"/>
      <c r="V286" s="24"/>
    </row>
    <row r="287" spans="1:22" ht="102">
      <c r="A287" s="10" t="s">
        <v>1704</v>
      </c>
      <c r="B287" s="11" t="str">
        <f>IFERROR(VLOOKUP(A287,Systems!A:B,2,FALSE),"Various")</f>
        <v>Various</v>
      </c>
      <c r="C287" s="11" t="s">
        <v>931</v>
      </c>
      <c r="D287" s="11"/>
      <c r="E287" s="11"/>
      <c r="F287" s="24" t="s">
        <v>1412</v>
      </c>
      <c r="G287" s="38"/>
      <c r="H287" s="11" t="s">
        <v>1703</v>
      </c>
      <c r="I287" s="11"/>
      <c r="J287" s="11"/>
      <c r="K287" s="11"/>
      <c r="L287" s="11"/>
      <c r="M287" s="11"/>
      <c r="N287" s="11"/>
      <c r="O287" s="11"/>
      <c r="P287" s="11"/>
      <c r="Q287" s="11"/>
      <c r="R287" s="11"/>
      <c r="S287" s="24"/>
      <c r="T287" s="24"/>
      <c r="U287" s="24"/>
      <c r="V287" s="24"/>
    </row>
    <row r="288" spans="1:22" ht="89.25">
      <c r="A288" s="10" t="s">
        <v>224</v>
      </c>
      <c r="B288" s="11" t="str">
        <f>IFERROR(VLOOKUP(A288,Systems!A:B,2,FALSE),"Various")</f>
        <v>Bilge system</v>
      </c>
      <c r="C288" s="11" t="s">
        <v>1089</v>
      </c>
      <c r="D288" s="11"/>
      <c r="E288" s="11"/>
      <c r="F288" s="24" t="s">
        <v>1412</v>
      </c>
      <c r="G288" s="38"/>
      <c r="H288" s="11" t="s">
        <v>968</v>
      </c>
      <c r="I288" s="11"/>
      <c r="J288" s="11"/>
      <c r="K288" s="11"/>
      <c r="L288" s="11"/>
      <c r="M288" s="11"/>
      <c r="N288" s="11"/>
      <c r="O288" s="11"/>
      <c r="P288" s="11"/>
      <c r="Q288" s="11"/>
      <c r="R288" s="11"/>
      <c r="S288" s="24"/>
      <c r="T288" s="24"/>
      <c r="U288" s="24"/>
      <c r="V288" s="24"/>
    </row>
    <row r="289" spans="1:22" ht="63.75">
      <c r="A289" s="10" t="s">
        <v>224</v>
      </c>
      <c r="B289" s="11" t="str">
        <f>IFERROR(VLOOKUP(A289,Systems!A:B,2,FALSE),"Various")</f>
        <v>Bilge system</v>
      </c>
      <c r="C289" s="11" t="s">
        <v>473</v>
      </c>
      <c r="D289" s="11"/>
      <c r="E289" s="11"/>
      <c r="F289" s="24" t="s">
        <v>1412</v>
      </c>
      <c r="G289" s="38"/>
      <c r="H289" s="11" t="s">
        <v>1027</v>
      </c>
      <c r="I289" s="11"/>
      <c r="J289" s="11"/>
      <c r="K289" s="11"/>
      <c r="L289" s="11"/>
      <c r="M289" s="11"/>
      <c r="N289" s="11"/>
      <c r="O289" s="11"/>
      <c r="P289" s="11"/>
      <c r="Q289" s="11" t="s">
        <v>1807</v>
      </c>
      <c r="R289" s="11"/>
      <c r="S289" s="24" t="s">
        <v>30</v>
      </c>
      <c r="T289" s="24"/>
      <c r="U289" s="24" t="str">
        <f>IF(OR(NOT(H289=""),NOT(M289="")),"","x")</f>
        <v/>
      </c>
      <c r="V289" s="24"/>
    </row>
    <row r="290" spans="1:22" ht="63.75">
      <c r="A290" s="10" t="s">
        <v>224</v>
      </c>
      <c r="B290" s="11" t="str">
        <f>IFERROR(VLOOKUP(A290,Systems!A:B,2,FALSE),"Various")</f>
        <v>Bilge system</v>
      </c>
      <c r="C290" s="11" t="s">
        <v>1036</v>
      </c>
      <c r="D290" s="11"/>
      <c r="E290" s="11"/>
      <c r="F290" s="24" t="s">
        <v>1412</v>
      </c>
      <c r="G290" s="38"/>
      <c r="H290" s="11" t="s">
        <v>1091</v>
      </c>
      <c r="I290" s="11"/>
      <c r="J290" s="11"/>
      <c r="K290" s="11"/>
      <c r="L290" s="11"/>
      <c r="M290" s="11"/>
      <c r="N290" s="11"/>
      <c r="O290" s="11"/>
      <c r="P290" s="11" t="s">
        <v>1037</v>
      </c>
      <c r="Q290" s="11"/>
      <c r="R290" s="11"/>
      <c r="S290" s="24" t="s">
        <v>30</v>
      </c>
      <c r="T290" s="24"/>
      <c r="U290" s="24" t="str">
        <f>IF(OR(NOT(H290=""),NOT(M290="")),"","x")</f>
        <v/>
      </c>
      <c r="V290" s="24"/>
    </row>
    <row r="291" spans="1:22" ht="127.5">
      <c r="A291" s="10" t="s">
        <v>224</v>
      </c>
      <c r="B291" s="11" t="str">
        <f>IFERROR(VLOOKUP(A291,Systems!A:B,2,FALSE),"Various")</f>
        <v>Bilge system</v>
      </c>
      <c r="C291" s="11" t="s">
        <v>1029</v>
      </c>
      <c r="D291" s="11"/>
      <c r="E291" s="11"/>
      <c r="F291" s="24" t="s">
        <v>1412</v>
      </c>
      <c r="G291" s="38"/>
      <c r="H291" s="11" t="s">
        <v>1028</v>
      </c>
      <c r="I291" s="11"/>
      <c r="J291" s="11"/>
      <c r="K291" s="11"/>
      <c r="L291" s="11"/>
      <c r="M291" s="11"/>
      <c r="N291" s="11"/>
      <c r="O291" s="11"/>
      <c r="P291" s="11" t="s">
        <v>1038</v>
      </c>
      <c r="Q291" s="11"/>
      <c r="R291" s="11"/>
      <c r="S291" s="24" t="s">
        <v>30</v>
      </c>
      <c r="T291" s="24"/>
      <c r="U291" s="24" t="str">
        <f>IF(OR(NOT(H291=""),NOT(M291="")),"","x")</f>
        <v/>
      </c>
      <c r="V291" s="24"/>
    </row>
    <row r="292" spans="1:22" ht="51">
      <c r="A292" s="10" t="s">
        <v>224</v>
      </c>
      <c r="B292" s="11" t="str">
        <f>IFERROR(VLOOKUP(A292,Systems!A:B,2,FALSE),"Various")</f>
        <v>Bilge system</v>
      </c>
      <c r="C292" s="11" t="s">
        <v>45</v>
      </c>
      <c r="D292" s="11"/>
      <c r="E292" s="11"/>
      <c r="F292" s="24" t="s">
        <v>1412</v>
      </c>
      <c r="G292" s="38"/>
      <c r="H292" s="11" t="s">
        <v>1030</v>
      </c>
      <c r="I292" s="11"/>
      <c r="J292" s="11"/>
      <c r="K292" s="11"/>
      <c r="L292" s="11"/>
      <c r="M292" s="11"/>
      <c r="N292" s="11"/>
      <c r="O292" s="11" t="s">
        <v>659</v>
      </c>
      <c r="P292" s="11" t="s">
        <v>1039</v>
      </c>
      <c r="Q292" s="11"/>
      <c r="R292" s="11"/>
      <c r="S292" s="24" t="s">
        <v>30</v>
      </c>
      <c r="T292" s="24"/>
      <c r="U292" s="24" t="s">
        <v>30</v>
      </c>
      <c r="V292" s="24"/>
    </row>
    <row r="293" spans="1:22" ht="38.25">
      <c r="A293" s="10" t="s">
        <v>224</v>
      </c>
      <c r="B293" s="11" t="str">
        <f>IFERROR(VLOOKUP(A293,Systems!A:B,2,FALSE),"Various")</f>
        <v>Bilge system</v>
      </c>
      <c r="C293" s="11" t="s">
        <v>1032</v>
      </c>
      <c r="D293" s="11"/>
      <c r="E293" s="11"/>
      <c r="F293" s="24" t="s">
        <v>1412</v>
      </c>
      <c r="G293" s="38"/>
      <c r="H293" s="11" t="s">
        <v>1031</v>
      </c>
      <c r="I293" s="11"/>
      <c r="J293" s="11"/>
      <c r="K293" s="11"/>
      <c r="L293" s="11"/>
      <c r="M293" s="11"/>
      <c r="N293" s="11"/>
      <c r="O293" s="11"/>
      <c r="P293" s="11"/>
      <c r="Q293" s="11"/>
      <c r="R293" s="11"/>
      <c r="S293" s="24" t="s">
        <v>30</v>
      </c>
      <c r="T293" s="24"/>
      <c r="U293" s="24" t="s">
        <v>30</v>
      </c>
      <c r="V293" s="24"/>
    </row>
    <row r="294" spans="1:22" ht="76.5">
      <c r="A294" s="10" t="s">
        <v>224</v>
      </c>
      <c r="B294" s="11" t="str">
        <f>IFERROR(VLOOKUP(A294,Systems!A:B,2,FALSE),"Various")</f>
        <v>Bilge system</v>
      </c>
      <c r="C294" s="11" t="s">
        <v>1034</v>
      </c>
      <c r="D294" s="11"/>
      <c r="E294" s="11"/>
      <c r="F294" s="24" t="s">
        <v>1412</v>
      </c>
      <c r="G294" s="38"/>
      <c r="H294" s="11" t="s">
        <v>1033</v>
      </c>
      <c r="I294" s="11"/>
      <c r="J294" s="11" t="s">
        <v>1975</v>
      </c>
      <c r="K294" s="11"/>
      <c r="L294" s="11"/>
      <c r="M294" s="11"/>
      <c r="N294" s="11"/>
      <c r="O294" s="11"/>
      <c r="P294" s="11" t="s">
        <v>1042</v>
      </c>
      <c r="Q294" s="11" t="s">
        <v>1808</v>
      </c>
      <c r="R294" s="11"/>
      <c r="S294" s="24" t="s">
        <v>30</v>
      </c>
      <c r="T294" s="24"/>
      <c r="U294" s="24" t="str">
        <f>IF(OR(NOT(H294=""),NOT(M294="")),"","x")</f>
        <v/>
      </c>
      <c r="V294" s="24"/>
    </row>
    <row r="295" spans="1:22" ht="409.5">
      <c r="A295" s="10" t="s">
        <v>224</v>
      </c>
      <c r="B295" s="11" t="str">
        <f>IFERROR(VLOOKUP(A295,Systems!A:B,2,FALSE),"Various")</f>
        <v>Bilge system</v>
      </c>
      <c r="C295" s="11" t="s">
        <v>1098</v>
      </c>
      <c r="D295" s="11"/>
      <c r="E295" s="11"/>
      <c r="F295" s="24" t="s">
        <v>1412</v>
      </c>
      <c r="G295" s="38"/>
      <c r="H295" s="11" t="s">
        <v>1097</v>
      </c>
      <c r="I295" s="11"/>
      <c r="J295" s="11"/>
      <c r="K295" s="11"/>
      <c r="L295" s="11"/>
      <c r="M295" s="11"/>
      <c r="N295" s="11"/>
      <c r="O295" s="11"/>
      <c r="P295" s="11"/>
      <c r="Q295" s="11"/>
      <c r="R295" s="11"/>
      <c r="S295" s="24"/>
      <c r="T295" s="24"/>
      <c r="U295" s="24" t="str">
        <f>IF(OR(NOT(H295=""),NOT(M295="")),"","x")</f>
        <v/>
      </c>
      <c r="V295" s="24"/>
    </row>
    <row r="296" spans="1:22" ht="165.75">
      <c r="A296" s="10" t="s">
        <v>224</v>
      </c>
      <c r="B296" s="11" t="str">
        <f>IFERROR(VLOOKUP(A296,Systems!A:B,2,FALSE),"Various")</f>
        <v>Bilge system</v>
      </c>
      <c r="C296" s="11" t="s">
        <v>969</v>
      </c>
      <c r="D296" s="11"/>
      <c r="E296" s="11"/>
      <c r="F296" s="24" t="s">
        <v>1412</v>
      </c>
      <c r="G296" s="38"/>
      <c r="H296" s="11" t="s">
        <v>970</v>
      </c>
      <c r="I296" s="11"/>
      <c r="J296" s="11" t="s">
        <v>1962</v>
      </c>
      <c r="K296" s="11"/>
      <c r="L296" s="11"/>
      <c r="M296" s="11"/>
      <c r="N296" s="11"/>
      <c r="O296" s="11"/>
      <c r="P296" s="11" t="s">
        <v>1041</v>
      </c>
      <c r="Q296" s="11" t="s">
        <v>1785</v>
      </c>
      <c r="R296" s="11"/>
      <c r="S296" s="24" t="s">
        <v>30</v>
      </c>
      <c r="T296" s="24"/>
      <c r="U296" s="24" t="str">
        <f>IF(OR(NOT(H296=""),NOT(M296="")),"","x")</f>
        <v/>
      </c>
      <c r="V296" s="24"/>
    </row>
    <row r="297" spans="1:22" ht="63.75">
      <c r="A297" s="10" t="s">
        <v>224</v>
      </c>
      <c r="B297" s="11" t="str">
        <f>IFERROR(VLOOKUP(A297,Systems!A:B,2,FALSE),"Various")</f>
        <v>Bilge system</v>
      </c>
      <c r="C297" s="11" t="s">
        <v>972</v>
      </c>
      <c r="D297" s="11"/>
      <c r="E297" s="11"/>
      <c r="F297" s="24" t="s">
        <v>1412</v>
      </c>
      <c r="G297" s="38"/>
      <c r="H297" s="11" t="s">
        <v>973</v>
      </c>
      <c r="I297" s="11"/>
      <c r="J297" s="11" t="s">
        <v>1964</v>
      </c>
      <c r="K297" s="11"/>
      <c r="L297" s="11"/>
      <c r="M297" s="11"/>
      <c r="N297" s="11"/>
      <c r="O297" s="11"/>
      <c r="P297" s="11" t="s">
        <v>1043</v>
      </c>
      <c r="Q297" s="11"/>
      <c r="R297" s="11"/>
      <c r="S297" s="24"/>
      <c r="T297" s="24"/>
      <c r="U297" s="24" t="str">
        <f>IF(OR(NOT(H297=""),NOT(M297="")),"","x")</f>
        <v/>
      </c>
      <c r="V297" s="24"/>
    </row>
    <row r="298" spans="1:22" ht="127.5">
      <c r="A298" s="10" t="s">
        <v>974</v>
      </c>
      <c r="B298" s="11" t="str">
        <f>IFERROR(VLOOKUP(A298,Systems!A:B,2,FALSE),"Various")</f>
        <v>Various</v>
      </c>
      <c r="C298" s="11" t="s">
        <v>975</v>
      </c>
      <c r="D298" s="11"/>
      <c r="E298" s="11"/>
      <c r="F298" s="24" t="s">
        <v>1412</v>
      </c>
      <c r="G298" s="38"/>
      <c r="H298" s="11" t="s">
        <v>971</v>
      </c>
      <c r="I298" s="11"/>
      <c r="J298" s="11"/>
      <c r="K298" s="11"/>
      <c r="L298" s="11"/>
      <c r="M298" s="11"/>
      <c r="N298" s="11"/>
      <c r="O298" s="11" t="s">
        <v>656</v>
      </c>
      <c r="P298" s="11"/>
      <c r="Q298" s="11" t="s">
        <v>1787</v>
      </c>
      <c r="R298" s="11"/>
      <c r="S298" s="24"/>
      <c r="T298" s="24"/>
      <c r="U298" s="24" t="str">
        <f>IF(OR(NOT(H298=""),NOT(M298="")),"","x")</f>
        <v/>
      </c>
      <c r="V298" s="24"/>
    </row>
    <row r="299" spans="1:22" ht="204">
      <c r="A299" s="10" t="s">
        <v>224</v>
      </c>
      <c r="B299" s="11" t="str">
        <f>IFERROR(VLOOKUP(A299,Systems!A:B,2,FALSE),"Various")</f>
        <v>Bilge system</v>
      </c>
      <c r="C299" s="11" t="s">
        <v>976</v>
      </c>
      <c r="D299" s="11"/>
      <c r="E299" s="11"/>
      <c r="F299" s="24" t="s">
        <v>1412</v>
      </c>
      <c r="G299" s="38"/>
      <c r="H299" s="11" t="s">
        <v>977</v>
      </c>
      <c r="I299" s="11"/>
      <c r="J299" s="11" t="s">
        <v>1963</v>
      </c>
      <c r="K299" s="11"/>
      <c r="L299" s="11"/>
      <c r="M299" s="11"/>
      <c r="N299" s="11"/>
      <c r="O299" s="11" t="s">
        <v>1044</v>
      </c>
      <c r="P299" s="11"/>
      <c r="Q299" s="11"/>
      <c r="R299" s="11"/>
      <c r="S299" s="24"/>
      <c r="T299" s="24"/>
      <c r="U299" s="24"/>
      <c r="V299" s="24"/>
    </row>
    <row r="300" spans="1:22" ht="242.25">
      <c r="A300" s="10" t="s">
        <v>224</v>
      </c>
      <c r="B300" s="11" t="str">
        <f>IFERROR(VLOOKUP(A300,Systems!A:B,2,FALSE),"Various")</f>
        <v>Bilge system</v>
      </c>
      <c r="C300" s="11" t="s">
        <v>976</v>
      </c>
      <c r="D300" s="11"/>
      <c r="E300" s="11"/>
      <c r="F300" s="24" t="s">
        <v>1412</v>
      </c>
      <c r="G300" s="38"/>
      <c r="H300" s="11" t="s">
        <v>2018</v>
      </c>
      <c r="I300" s="11"/>
      <c r="J300" s="11" t="s">
        <v>1965</v>
      </c>
      <c r="K300" s="11"/>
      <c r="L300" s="11"/>
      <c r="M300" s="11"/>
      <c r="N300" s="11"/>
      <c r="O300" s="11"/>
      <c r="P300" s="11"/>
      <c r="Q300" s="11"/>
      <c r="R300" s="11"/>
      <c r="S300" s="24" t="s">
        <v>30</v>
      </c>
      <c r="T300" s="24" t="s">
        <v>30</v>
      </c>
      <c r="U300" s="24" t="str">
        <f t="shared" ref="U300:U331" si="6">IF(OR(NOT(H300=""),NOT(M300="")),"","x")</f>
        <v/>
      </c>
      <c r="V300" s="24"/>
    </row>
    <row r="301" spans="1:22" ht="127.5">
      <c r="A301" s="10" t="s">
        <v>224</v>
      </c>
      <c r="B301" s="11" t="str">
        <f>IFERROR(VLOOKUP(A301,Systems!A:B,2,FALSE),"Various")</f>
        <v>Bilge system</v>
      </c>
      <c r="C301" s="11" t="s">
        <v>976</v>
      </c>
      <c r="D301" s="11"/>
      <c r="E301" s="11"/>
      <c r="F301" s="24" t="s">
        <v>1412</v>
      </c>
      <c r="G301" s="38"/>
      <c r="H301" s="11" t="s">
        <v>1046</v>
      </c>
      <c r="I301" s="11"/>
      <c r="J301" s="11"/>
      <c r="K301" s="11"/>
      <c r="L301" s="11"/>
      <c r="M301" s="11"/>
      <c r="N301" s="11"/>
      <c r="O301" s="11"/>
      <c r="P301" s="11" t="s">
        <v>1045</v>
      </c>
      <c r="Q301" s="11" t="s">
        <v>1799</v>
      </c>
      <c r="R301" s="11"/>
      <c r="S301" s="24" t="s">
        <v>30</v>
      </c>
      <c r="T301" s="24" t="s">
        <v>30</v>
      </c>
      <c r="U301" s="24" t="str">
        <f t="shared" si="6"/>
        <v/>
      </c>
      <c r="V301" s="24"/>
    </row>
    <row r="302" spans="1:22" ht="153">
      <c r="A302" s="10" t="s">
        <v>224</v>
      </c>
      <c r="B302" s="11" t="str">
        <f>IFERROR(VLOOKUP(A302,Systems!A:B,2,FALSE),"Various")</f>
        <v>Bilge system</v>
      </c>
      <c r="C302" s="11" t="s">
        <v>41</v>
      </c>
      <c r="D302" s="11"/>
      <c r="E302" s="11"/>
      <c r="F302" s="24" t="s">
        <v>1412</v>
      </c>
      <c r="G302" s="38"/>
      <c r="H302" s="11" t="s">
        <v>1430</v>
      </c>
      <c r="I302" s="11"/>
      <c r="J302" s="11"/>
      <c r="K302" s="11"/>
      <c r="L302" s="11"/>
      <c r="M302" s="11"/>
      <c r="N302" s="11"/>
      <c r="O302" s="11"/>
      <c r="P302" s="11" t="s">
        <v>1047</v>
      </c>
      <c r="Q302" s="11"/>
      <c r="R302" s="11"/>
      <c r="S302" s="24" t="s">
        <v>30</v>
      </c>
      <c r="T302" s="24" t="s">
        <v>30</v>
      </c>
      <c r="U302" s="24" t="str">
        <f t="shared" si="6"/>
        <v/>
      </c>
      <c r="V302" s="24"/>
    </row>
    <row r="303" spans="1:22" ht="102">
      <c r="A303" s="10" t="s">
        <v>224</v>
      </c>
      <c r="B303" s="11" t="str">
        <f>IFERROR(VLOOKUP(A303,Systems!A:B,2,FALSE),"Various")</f>
        <v>Bilge system</v>
      </c>
      <c r="C303" s="11" t="s">
        <v>41</v>
      </c>
      <c r="D303" s="11"/>
      <c r="E303" s="11"/>
      <c r="F303" s="24" t="s">
        <v>1412</v>
      </c>
      <c r="G303" s="38"/>
      <c r="H303" s="11" t="s">
        <v>978</v>
      </c>
      <c r="I303" s="11"/>
      <c r="J303" s="11"/>
      <c r="K303" s="11"/>
      <c r="L303" s="11"/>
      <c r="M303" s="11"/>
      <c r="N303" s="11"/>
      <c r="O303" s="11"/>
      <c r="P303" s="11" t="s">
        <v>1048</v>
      </c>
      <c r="Q303" s="11"/>
      <c r="R303" s="11"/>
      <c r="S303" s="24"/>
      <c r="T303" s="24"/>
      <c r="U303" s="24" t="str">
        <f t="shared" si="6"/>
        <v/>
      </c>
      <c r="V303" s="24"/>
    </row>
    <row r="304" spans="1:22" ht="140.25">
      <c r="A304" s="10" t="s">
        <v>224</v>
      </c>
      <c r="B304" s="11" t="str">
        <f>IFERROR(VLOOKUP(A304,Systems!A:B,2,FALSE),"Various")</f>
        <v>Bilge system</v>
      </c>
      <c r="C304" s="11" t="s">
        <v>41</v>
      </c>
      <c r="D304" s="11"/>
      <c r="E304" s="11"/>
      <c r="F304" s="24" t="s">
        <v>1412</v>
      </c>
      <c r="G304" s="38"/>
      <c r="H304" s="11" t="s">
        <v>979</v>
      </c>
      <c r="I304" s="11"/>
      <c r="J304" s="11"/>
      <c r="K304" s="11"/>
      <c r="L304" s="11"/>
      <c r="M304" s="11"/>
      <c r="N304" s="11"/>
      <c r="O304" s="11"/>
      <c r="P304" s="11" t="s">
        <v>1049</v>
      </c>
      <c r="Q304" s="11"/>
      <c r="R304" s="11"/>
      <c r="S304" s="24" t="s">
        <v>30</v>
      </c>
      <c r="T304" s="24" t="s">
        <v>30</v>
      </c>
      <c r="U304" s="24" t="str">
        <f t="shared" si="6"/>
        <v/>
      </c>
      <c r="V304" s="24"/>
    </row>
    <row r="305" spans="1:22" ht="51">
      <c r="A305" s="10" t="s">
        <v>224</v>
      </c>
      <c r="B305" s="11" t="str">
        <f>IFERROR(VLOOKUP(A305,Systems!A:B,2,FALSE),"Various")</f>
        <v>Bilge system</v>
      </c>
      <c r="C305" s="11" t="s">
        <v>41</v>
      </c>
      <c r="D305" s="11"/>
      <c r="E305" s="11"/>
      <c r="F305" s="24" t="s">
        <v>1412</v>
      </c>
      <c r="G305" s="38"/>
      <c r="H305" s="11" t="s">
        <v>980</v>
      </c>
      <c r="I305" s="11"/>
      <c r="J305" s="11"/>
      <c r="K305" s="11"/>
      <c r="L305" s="11"/>
      <c r="M305" s="11"/>
      <c r="N305" s="11"/>
      <c r="O305" s="11" t="s">
        <v>1052</v>
      </c>
      <c r="P305" s="11" t="s">
        <v>1050</v>
      </c>
      <c r="Q305" s="11"/>
      <c r="R305" s="11"/>
      <c r="S305" s="24" t="s">
        <v>30</v>
      </c>
      <c r="T305" s="24" t="s">
        <v>30</v>
      </c>
      <c r="U305" s="24" t="str">
        <f t="shared" si="6"/>
        <v/>
      </c>
      <c r="V305" s="24"/>
    </row>
    <row r="306" spans="1:22" ht="51">
      <c r="A306" s="10" t="s">
        <v>224</v>
      </c>
      <c r="B306" s="11" t="str">
        <f>IFERROR(VLOOKUP(A306,Systems!A:B,2,FALSE),"Various")</f>
        <v>Bilge system</v>
      </c>
      <c r="C306" s="11" t="s">
        <v>41</v>
      </c>
      <c r="D306" s="11"/>
      <c r="E306" s="11"/>
      <c r="F306" s="24" t="s">
        <v>1412</v>
      </c>
      <c r="G306" s="38"/>
      <c r="H306" s="11" t="s">
        <v>981</v>
      </c>
      <c r="I306" s="11"/>
      <c r="J306" s="11"/>
      <c r="K306" s="11"/>
      <c r="L306" s="11"/>
      <c r="M306" s="11"/>
      <c r="N306" s="11"/>
      <c r="O306" s="11"/>
      <c r="P306" s="11"/>
      <c r="Q306" s="11"/>
      <c r="R306" s="11"/>
      <c r="S306" s="24" t="s">
        <v>30</v>
      </c>
      <c r="T306" s="24" t="s">
        <v>30</v>
      </c>
      <c r="U306" s="24" t="str">
        <f t="shared" si="6"/>
        <v/>
      </c>
      <c r="V306" s="24"/>
    </row>
    <row r="307" spans="1:22" ht="114.75">
      <c r="A307" s="10" t="s">
        <v>224</v>
      </c>
      <c r="B307" s="11" t="str">
        <f>IFERROR(VLOOKUP(A307,Systems!A:B,2,FALSE),"Various")</f>
        <v>Bilge system</v>
      </c>
      <c r="C307" s="11" t="s">
        <v>41</v>
      </c>
      <c r="D307" s="11"/>
      <c r="E307" s="11"/>
      <c r="F307" s="24" t="s">
        <v>1412</v>
      </c>
      <c r="G307" s="38"/>
      <c r="H307" s="11" t="s">
        <v>1215</v>
      </c>
      <c r="I307" s="11"/>
      <c r="J307" s="11"/>
      <c r="K307" s="11"/>
      <c r="L307" s="11"/>
      <c r="M307" s="11"/>
      <c r="N307" s="11"/>
      <c r="O307" s="11"/>
      <c r="P307" s="11" t="s">
        <v>1051</v>
      </c>
      <c r="Q307" s="11"/>
      <c r="R307" s="11"/>
      <c r="S307" s="24" t="s">
        <v>30</v>
      </c>
      <c r="T307" s="24"/>
      <c r="U307" s="24" t="str">
        <f t="shared" si="6"/>
        <v/>
      </c>
      <c r="V307" s="24"/>
    </row>
    <row r="308" spans="1:22" ht="89.25">
      <c r="A308" s="10" t="s">
        <v>224</v>
      </c>
      <c r="B308" s="11" t="str">
        <f>IFERROR(VLOOKUP(A308,Systems!A:B,2,FALSE),"Various")</f>
        <v>Bilge system</v>
      </c>
      <c r="C308" s="11" t="s">
        <v>41</v>
      </c>
      <c r="D308" s="11"/>
      <c r="E308" s="11"/>
      <c r="F308" s="24" t="s">
        <v>1412</v>
      </c>
      <c r="G308" s="38"/>
      <c r="H308" s="11" t="s">
        <v>982</v>
      </c>
      <c r="I308" s="11"/>
      <c r="J308" s="11"/>
      <c r="K308" s="11"/>
      <c r="L308" s="11"/>
      <c r="M308" s="11"/>
      <c r="N308" s="11"/>
      <c r="O308" s="11"/>
      <c r="P308" s="11"/>
      <c r="Q308" s="11"/>
      <c r="R308" s="11"/>
      <c r="S308" s="24" t="s">
        <v>30</v>
      </c>
      <c r="T308" s="24"/>
      <c r="U308" s="24" t="str">
        <f t="shared" si="6"/>
        <v/>
      </c>
      <c r="V308" s="24"/>
    </row>
    <row r="309" spans="1:22" ht="102">
      <c r="A309" s="10" t="s">
        <v>224</v>
      </c>
      <c r="B309" s="11" t="str">
        <f>IFERROR(VLOOKUP(A309,Systems!A:B,2,FALSE),"Various")</f>
        <v>Bilge system</v>
      </c>
      <c r="C309" s="11" t="s">
        <v>40</v>
      </c>
      <c r="D309" s="11"/>
      <c r="E309" s="11"/>
      <c r="F309" s="24" t="s">
        <v>1412</v>
      </c>
      <c r="G309" s="38"/>
      <c r="H309" s="11" t="s">
        <v>983</v>
      </c>
      <c r="I309" s="11"/>
      <c r="J309" s="11"/>
      <c r="K309" s="11"/>
      <c r="L309" s="11"/>
      <c r="M309" s="11"/>
      <c r="N309" s="11"/>
      <c r="O309" s="11"/>
      <c r="P309" s="11" t="s">
        <v>1054</v>
      </c>
      <c r="Q309" s="11"/>
      <c r="R309" s="11"/>
      <c r="S309" s="24" t="s">
        <v>30</v>
      </c>
      <c r="T309" s="24"/>
      <c r="U309" s="24" t="str">
        <f t="shared" si="6"/>
        <v/>
      </c>
      <c r="V309" s="24"/>
    </row>
    <row r="310" spans="1:22" ht="38.25">
      <c r="A310" s="10" t="s">
        <v>224</v>
      </c>
      <c r="B310" s="11" t="str">
        <f>IFERROR(VLOOKUP(A310,Systems!A:B,2,FALSE),"Various")</f>
        <v>Bilge system</v>
      </c>
      <c r="C310" s="11" t="s">
        <v>1203</v>
      </c>
      <c r="D310" s="11"/>
      <c r="E310" s="11"/>
      <c r="F310" s="24" t="s">
        <v>1412</v>
      </c>
      <c r="G310" s="38"/>
      <c r="H310" s="11" t="s">
        <v>1202</v>
      </c>
      <c r="I310" s="11"/>
      <c r="J310" s="11"/>
      <c r="K310" s="11"/>
      <c r="L310" s="11"/>
      <c r="M310" s="11"/>
      <c r="N310" s="11"/>
      <c r="O310" s="11"/>
      <c r="P310" s="11" t="s">
        <v>984</v>
      </c>
      <c r="Q310" s="11"/>
      <c r="R310" s="11"/>
      <c r="S310" s="24" t="s">
        <v>30</v>
      </c>
      <c r="T310" s="24"/>
      <c r="U310" s="24" t="str">
        <f t="shared" si="6"/>
        <v/>
      </c>
      <c r="V310" s="24"/>
    </row>
    <row r="311" spans="1:22" ht="63.75">
      <c r="A311" s="10" t="s">
        <v>224</v>
      </c>
      <c r="B311" s="11" t="str">
        <f>IFERROR(VLOOKUP(A311,Systems!A:B,2,FALSE),"Various")</f>
        <v>Bilge system</v>
      </c>
      <c r="C311" s="11" t="s">
        <v>1205</v>
      </c>
      <c r="D311" s="11"/>
      <c r="E311" s="11"/>
      <c r="F311" s="24" t="s">
        <v>1412</v>
      </c>
      <c r="G311" s="38"/>
      <c r="H311" s="11" t="s">
        <v>1204</v>
      </c>
      <c r="I311" s="11"/>
      <c r="J311" s="11"/>
      <c r="K311" s="11"/>
      <c r="L311" s="11"/>
      <c r="M311" s="11"/>
      <c r="N311" s="11"/>
      <c r="O311" s="11"/>
      <c r="P311" s="11" t="s">
        <v>1053</v>
      </c>
      <c r="Q311" s="11"/>
      <c r="R311" s="11"/>
      <c r="S311" s="24" t="s">
        <v>30</v>
      </c>
      <c r="T311" s="24"/>
      <c r="U311" s="24" t="str">
        <f t="shared" si="6"/>
        <v/>
      </c>
      <c r="V311" s="24"/>
    </row>
    <row r="312" spans="1:22" ht="153">
      <c r="A312" s="10" t="s">
        <v>224</v>
      </c>
      <c r="B312" s="11" t="str">
        <f>IFERROR(VLOOKUP(A312,Systems!A:B,2,FALSE),"Various")</f>
        <v>Bilge system</v>
      </c>
      <c r="C312" s="11" t="s">
        <v>1207</v>
      </c>
      <c r="D312" s="11"/>
      <c r="E312" s="11"/>
      <c r="F312" s="24" t="s">
        <v>1412</v>
      </c>
      <c r="G312" s="38"/>
      <c r="H312" s="11" t="s">
        <v>1206</v>
      </c>
      <c r="I312" s="11"/>
      <c r="J312" s="11"/>
      <c r="K312" s="11"/>
      <c r="L312" s="11"/>
      <c r="M312" s="11"/>
      <c r="N312" s="11"/>
      <c r="O312" s="11"/>
      <c r="P312" s="11"/>
      <c r="Q312" s="11" t="s">
        <v>1797</v>
      </c>
      <c r="R312" s="11"/>
      <c r="S312" s="24" t="s">
        <v>30</v>
      </c>
      <c r="T312" s="24"/>
      <c r="U312" s="24" t="str">
        <f t="shared" si="6"/>
        <v/>
      </c>
      <c r="V312" s="24"/>
    </row>
    <row r="313" spans="1:22" ht="318.75">
      <c r="A313" s="10" t="s">
        <v>224</v>
      </c>
      <c r="B313" s="11" t="str">
        <f>IFERROR(VLOOKUP(A313,Systems!A:B,2,FALSE),"Various")</f>
        <v>Bilge system</v>
      </c>
      <c r="C313" s="11" t="s">
        <v>1209</v>
      </c>
      <c r="D313" s="11"/>
      <c r="E313" s="11"/>
      <c r="F313" s="24" t="s">
        <v>1412</v>
      </c>
      <c r="G313" s="38"/>
      <c r="H313" s="11" t="s">
        <v>1208</v>
      </c>
      <c r="I313" s="11"/>
      <c r="J313" s="11"/>
      <c r="K313" s="11"/>
      <c r="L313" s="11"/>
      <c r="M313" s="11" t="s">
        <v>1092</v>
      </c>
      <c r="N313" s="11"/>
      <c r="O313" s="11"/>
      <c r="P313" s="11" t="s">
        <v>1055</v>
      </c>
      <c r="Q313" s="11"/>
      <c r="R313" s="11"/>
      <c r="S313" s="24" t="s">
        <v>30</v>
      </c>
      <c r="T313" s="24"/>
      <c r="U313" s="24" t="str">
        <f t="shared" si="6"/>
        <v/>
      </c>
      <c r="V313" s="24"/>
    </row>
    <row r="314" spans="1:22" ht="63.75">
      <c r="A314" s="10" t="s">
        <v>224</v>
      </c>
      <c r="B314" s="11" t="str">
        <f>IFERROR(VLOOKUP(A314,Systems!A:B,2,FALSE),"Various")</f>
        <v>Bilge system</v>
      </c>
      <c r="C314" s="11" t="s">
        <v>1093</v>
      </c>
      <c r="D314" s="11"/>
      <c r="E314" s="11"/>
      <c r="F314" s="24" t="s">
        <v>1412</v>
      </c>
      <c r="G314" s="38"/>
      <c r="H314" s="11" t="s">
        <v>1189</v>
      </c>
      <c r="I314" s="11"/>
      <c r="J314" s="11"/>
      <c r="K314" s="11"/>
      <c r="L314" s="11"/>
      <c r="M314" s="11"/>
      <c r="N314" s="11"/>
      <c r="O314" s="11"/>
      <c r="P314" s="11"/>
      <c r="Q314" s="11"/>
      <c r="R314" s="11"/>
      <c r="S314" s="24" t="s">
        <v>30</v>
      </c>
      <c r="T314" s="24"/>
      <c r="U314" s="24" t="str">
        <f t="shared" si="6"/>
        <v/>
      </c>
      <c r="V314" s="24"/>
    </row>
    <row r="315" spans="1:22" ht="76.5">
      <c r="A315" s="10" t="s">
        <v>224</v>
      </c>
      <c r="B315" s="11" t="str">
        <f>IFERROR(VLOOKUP(A315,Systems!A:B,2,FALSE),"Various")</f>
        <v>Bilge system</v>
      </c>
      <c r="C315" s="11" t="s">
        <v>39</v>
      </c>
      <c r="D315" s="11"/>
      <c r="E315" s="11"/>
      <c r="F315" s="24" t="s">
        <v>1412</v>
      </c>
      <c r="G315" s="38"/>
      <c r="H315" s="11" t="s">
        <v>985</v>
      </c>
      <c r="I315" s="11"/>
      <c r="J315" s="11"/>
      <c r="K315" s="11"/>
      <c r="L315" s="11"/>
      <c r="M315" s="11"/>
      <c r="N315" s="11"/>
      <c r="O315" s="11"/>
      <c r="P315" s="11" t="s">
        <v>1056</v>
      </c>
      <c r="Q315" s="11"/>
      <c r="R315" s="11"/>
      <c r="S315" s="24" t="s">
        <v>30</v>
      </c>
      <c r="T315" s="24"/>
      <c r="U315" s="24" t="str">
        <f t="shared" si="6"/>
        <v/>
      </c>
      <c r="V315" s="24"/>
    </row>
    <row r="316" spans="1:22" ht="76.5">
      <c r="A316" s="10" t="s">
        <v>224</v>
      </c>
      <c r="B316" s="11" t="str">
        <f>IFERROR(VLOOKUP(A316,Systems!A:B,2,FALSE),"Various")</f>
        <v>Bilge system</v>
      </c>
      <c r="C316" s="11" t="s">
        <v>999</v>
      </c>
      <c r="D316" s="11"/>
      <c r="E316" s="11"/>
      <c r="F316" s="24" t="s">
        <v>1412</v>
      </c>
      <c r="G316" s="38"/>
      <c r="H316" s="11" t="s">
        <v>998</v>
      </c>
      <c r="I316" s="11"/>
      <c r="J316" s="11"/>
      <c r="K316" s="11"/>
      <c r="L316" s="11"/>
      <c r="M316" s="11"/>
      <c r="N316" s="11"/>
      <c r="O316" s="11"/>
      <c r="P316" s="11" t="s">
        <v>1058</v>
      </c>
      <c r="Q316" s="11"/>
      <c r="R316" s="11"/>
      <c r="S316" s="24" t="s">
        <v>30</v>
      </c>
      <c r="T316" s="24"/>
      <c r="U316" s="24" t="str">
        <f t="shared" si="6"/>
        <v/>
      </c>
      <c r="V316" s="24"/>
    </row>
    <row r="317" spans="1:22" ht="114.75">
      <c r="A317" s="10" t="s">
        <v>224</v>
      </c>
      <c r="B317" s="11" t="str">
        <f>IFERROR(VLOOKUP(A317,Systems!A:B,2,FALSE),"Various")</f>
        <v>Bilge system</v>
      </c>
      <c r="C317" s="11" t="s">
        <v>1188</v>
      </c>
      <c r="D317" s="11"/>
      <c r="E317" s="11"/>
      <c r="F317" s="24" t="s">
        <v>1412</v>
      </c>
      <c r="G317" s="38"/>
      <c r="H317" s="11" t="s">
        <v>1000</v>
      </c>
      <c r="I317" s="11"/>
      <c r="J317" s="11" t="s">
        <v>1973</v>
      </c>
      <c r="K317" s="11"/>
      <c r="L317" s="11"/>
      <c r="M317" s="11"/>
      <c r="N317" s="11"/>
      <c r="O317" s="11"/>
      <c r="P317" s="11" t="s">
        <v>1057</v>
      </c>
      <c r="Q317" s="11"/>
      <c r="R317" s="11"/>
      <c r="S317" s="24" t="s">
        <v>30</v>
      </c>
      <c r="T317" s="24"/>
      <c r="U317" s="24" t="str">
        <f t="shared" si="6"/>
        <v/>
      </c>
      <c r="V317" s="24"/>
    </row>
    <row r="318" spans="1:22" ht="242.25">
      <c r="A318" s="10" t="s">
        <v>224</v>
      </c>
      <c r="B318" s="11" t="str">
        <f>IFERROR(VLOOKUP(A318,Systems!A:B,2,FALSE),"Various")</f>
        <v>Bilge system</v>
      </c>
      <c r="C318" s="11" t="s">
        <v>1002</v>
      </c>
      <c r="D318" s="11"/>
      <c r="E318" s="11"/>
      <c r="F318" s="24" t="s">
        <v>1412</v>
      </c>
      <c r="G318" s="38"/>
      <c r="H318" s="11" t="s">
        <v>1001</v>
      </c>
      <c r="I318" s="11"/>
      <c r="J318" s="11" t="s">
        <v>1974</v>
      </c>
      <c r="K318" s="11"/>
      <c r="L318" s="11"/>
      <c r="M318" s="11"/>
      <c r="N318" s="11"/>
      <c r="O318" s="11"/>
      <c r="P318" s="11" t="s">
        <v>1059</v>
      </c>
      <c r="Q318" s="11"/>
      <c r="R318" s="11"/>
      <c r="S318" s="24" t="s">
        <v>30</v>
      </c>
      <c r="T318" s="24"/>
      <c r="U318" s="24" t="str">
        <f t="shared" si="6"/>
        <v/>
      </c>
      <c r="V318" s="24"/>
    </row>
    <row r="319" spans="1:22" ht="153">
      <c r="A319" s="10" t="s">
        <v>224</v>
      </c>
      <c r="B319" s="11" t="str">
        <f>IFERROR(VLOOKUP(A319,Systems!A:B,2,FALSE),"Various")</f>
        <v>Bilge system</v>
      </c>
      <c r="C319" s="11" t="s">
        <v>996</v>
      </c>
      <c r="D319" s="11"/>
      <c r="E319" s="11"/>
      <c r="F319" s="24" t="s">
        <v>1412</v>
      </c>
      <c r="G319" s="38"/>
      <c r="H319" s="11" t="s">
        <v>1805</v>
      </c>
      <c r="I319" s="11"/>
      <c r="J319" s="11" t="s">
        <v>1966</v>
      </c>
      <c r="K319" s="11"/>
      <c r="L319" s="11"/>
      <c r="M319" s="11"/>
      <c r="N319" s="11"/>
      <c r="O319" s="11"/>
      <c r="P319" s="11"/>
      <c r="Q319" s="11" t="s">
        <v>1806</v>
      </c>
      <c r="R319" s="11"/>
      <c r="S319" s="24" t="s">
        <v>30</v>
      </c>
      <c r="T319" s="24"/>
      <c r="U319" s="24" t="str">
        <f t="shared" si="6"/>
        <v/>
      </c>
      <c r="V319" s="24"/>
    </row>
    <row r="320" spans="1:22" ht="89.25">
      <c r="A320" s="10" t="s">
        <v>224</v>
      </c>
      <c r="B320" s="11" t="str">
        <f>IFERROR(VLOOKUP(A320,Systems!A:B,2,FALSE),"Various")</f>
        <v>Bilge system</v>
      </c>
      <c r="C320" s="11" t="s">
        <v>987</v>
      </c>
      <c r="D320" s="11"/>
      <c r="E320" s="11"/>
      <c r="F320" s="24" t="s">
        <v>1412</v>
      </c>
      <c r="G320" s="38"/>
      <c r="H320" s="11" t="s">
        <v>986</v>
      </c>
      <c r="I320" s="11"/>
      <c r="J320" s="11" t="s">
        <v>1967</v>
      </c>
      <c r="K320" s="11"/>
      <c r="L320" s="11"/>
      <c r="M320" s="11"/>
      <c r="N320" s="11"/>
      <c r="O320" s="11"/>
      <c r="P320" s="11"/>
      <c r="Q320" s="11"/>
      <c r="R320" s="11"/>
      <c r="S320" s="24" t="s">
        <v>30</v>
      </c>
      <c r="T320" s="24"/>
      <c r="U320" s="24" t="str">
        <f t="shared" si="6"/>
        <v/>
      </c>
      <c r="V320" s="24"/>
    </row>
    <row r="321" spans="1:22" ht="102">
      <c r="A321" s="10" t="s">
        <v>224</v>
      </c>
      <c r="B321" s="11" t="str">
        <f>IFERROR(VLOOKUP(A321,Systems!A:B,2,FALSE),"Various")</f>
        <v>Bilge system</v>
      </c>
      <c r="C321" s="11" t="s">
        <v>988</v>
      </c>
      <c r="D321" s="11"/>
      <c r="E321" s="11"/>
      <c r="F321" s="24" t="s">
        <v>1412</v>
      </c>
      <c r="G321" s="38"/>
      <c r="H321" s="11" t="s">
        <v>997</v>
      </c>
      <c r="I321" s="11"/>
      <c r="J321" s="11" t="s">
        <v>1970</v>
      </c>
      <c r="K321" s="11"/>
      <c r="L321" s="11"/>
      <c r="M321" s="11"/>
      <c r="N321" s="11"/>
      <c r="O321" s="11"/>
      <c r="P321" s="11"/>
      <c r="Q321" s="11"/>
      <c r="R321" s="11"/>
      <c r="S321" s="24" t="s">
        <v>30</v>
      </c>
      <c r="T321" s="24"/>
      <c r="U321" s="24" t="str">
        <f t="shared" si="6"/>
        <v/>
      </c>
      <c r="V321" s="24"/>
    </row>
    <row r="322" spans="1:22" ht="293.25">
      <c r="A322" s="10" t="s">
        <v>224</v>
      </c>
      <c r="B322" s="11" t="str">
        <f>IFERROR(VLOOKUP(A322,Systems!A:B,2,FALSE),"Various")</f>
        <v>Bilge system</v>
      </c>
      <c r="C322" s="11" t="s">
        <v>989</v>
      </c>
      <c r="D322" s="11"/>
      <c r="E322" s="11"/>
      <c r="F322" s="24" t="s">
        <v>1412</v>
      </c>
      <c r="G322" s="38"/>
      <c r="H322" s="11" t="s">
        <v>1969</v>
      </c>
      <c r="I322" s="11"/>
      <c r="J322" s="11" t="s">
        <v>1968</v>
      </c>
      <c r="K322" s="11"/>
      <c r="L322" s="11"/>
      <c r="M322" s="11"/>
      <c r="N322" s="11"/>
      <c r="O322" s="11"/>
      <c r="P322" s="11"/>
      <c r="Q322" s="11" t="s">
        <v>1796</v>
      </c>
      <c r="R322" s="11"/>
      <c r="S322" s="24" t="s">
        <v>30</v>
      </c>
      <c r="T322" s="24"/>
      <c r="U322" s="24" t="str">
        <f t="shared" si="6"/>
        <v/>
      </c>
      <c r="V322" s="24"/>
    </row>
    <row r="323" spans="1:22" ht="165.75">
      <c r="A323" s="10" t="s">
        <v>224</v>
      </c>
      <c r="B323" s="11" t="str">
        <f>IFERROR(VLOOKUP(A323,Systems!A:B,2,FALSE),"Various")</f>
        <v>Bilge system</v>
      </c>
      <c r="C323" s="11" t="s">
        <v>990</v>
      </c>
      <c r="D323" s="11"/>
      <c r="E323" s="11"/>
      <c r="F323" s="24" t="s">
        <v>1412</v>
      </c>
      <c r="G323" s="38"/>
      <c r="H323" s="11" t="s">
        <v>993</v>
      </c>
      <c r="I323" s="11"/>
      <c r="J323" s="11"/>
      <c r="K323" s="11"/>
      <c r="L323" s="11"/>
      <c r="M323" s="11"/>
      <c r="N323" s="11"/>
      <c r="O323" s="11"/>
      <c r="P323" s="11"/>
      <c r="Q323" s="11" t="s">
        <v>1786</v>
      </c>
      <c r="R323" s="11"/>
      <c r="S323" s="24" t="s">
        <v>30</v>
      </c>
      <c r="T323" s="24"/>
      <c r="U323" s="24" t="str">
        <f t="shared" si="6"/>
        <v/>
      </c>
      <c r="V323" s="24"/>
    </row>
    <row r="324" spans="1:22" ht="140.25">
      <c r="A324" s="10" t="s">
        <v>224</v>
      </c>
      <c r="B324" s="11" t="str">
        <f>IFERROR(VLOOKUP(A324,Systems!A:B,2,FALSE),"Various")</f>
        <v>Bilge system</v>
      </c>
      <c r="C324" s="11" t="s">
        <v>992</v>
      </c>
      <c r="D324" s="11"/>
      <c r="E324" s="11"/>
      <c r="F324" s="24" t="s">
        <v>1412</v>
      </c>
      <c r="G324" s="38"/>
      <c r="H324" s="11" t="s">
        <v>991</v>
      </c>
      <c r="I324" s="11"/>
      <c r="J324" s="11"/>
      <c r="K324" s="11"/>
      <c r="L324" s="11"/>
      <c r="M324" s="11"/>
      <c r="N324" s="11"/>
      <c r="O324" s="11"/>
      <c r="P324" s="11"/>
      <c r="Q324" s="11"/>
      <c r="R324" s="11"/>
      <c r="S324" s="24" t="s">
        <v>30</v>
      </c>
      <c r="T324" s="24"/>
      <c r="U324" s="24" t="str">
        <f t="shared" si="6"/>
        <v/>
      </c>
      <c r="V324" s="24"/>
    </row>
    <row r="325" spans="1:22" ht="89.25">
      <c r="A325" s="10" t="s">
        <v>224</v>
      </c>
      <c r="B325" s="11" t="str">
        <f>IFERROR(VLOOKUP(A325,Systems!A:B,2,FALSE),"Various")</f>
        <v>Bilge system</v>
      </c>
      <c r="C325" s="11" t="s">
        <v>995</v>
      </c>
      <c r="D325" s="11"/>
      <c r="E325" s="11"/>
      <c r="F325" s="24" t="s">
        <v>1412</v>
      </c>
      <c r="G325" s="38"/>
      <c r="H325" s="11" t="s">
        <v>994</v>
      </c>
      <c r="I325" s="11"/>
      <c r="J325" s="11"/>
      <c r="K325" s="11"/>
      <c r="L325" s="11"/>
      <c r="M325" s="11"/>
      <c r="N325" s="11"/>
      <c r="O325" s="11"/>
      <c r="P325" s="11"/>
      <c r="Q325" s="11"/>
      <c r="R325" s="11"/>
      <c r="S325" s="24" t="s">
        <v>30</v>
      </c>
      <c r="T325" s="24"/>
      <c r="U325" s="24" t="str">
        <f t="shared" si="6"/>
        <v/>
      </c>
      <c r="V325" s="24"/>
    </row>
    <row r="326" spans="1:22" ht="409.5">
      <c r="A326" s="10" t="s">
        <v>224</v>
      </c>
      <c r="B326" s="11" t="str">
        <f>IFERROR(VLOOKUP(A326,Systems!A:B,2,FALSE),"Various")</f>
        <v>Bilge system</v>
      </c>
      <c r="C326" s="11" t="s">
        <v>1004</v>
      </c>
      <c r="D326" s="11"/>
      <c r="E326" s="11"/>
      <c r="F326" s="24" t="s">
        <v>1412</v>
      </c>
      <c r="G326" s="38"/>
      <c r="H326" s="11" t="s">
        <v>1003</v>
      </c>
      <c r="I326" s="11"/>
      <c r="J326" s="11" t="s">
        <v>1971</v>
      </c>
      <c r="K326" s="11"/>
      <c r="L326" s="11"/>
      <c r="M326" s="11"/>
      <c r="N326" s="11"/>
      <c r="O326" s="11"/>
      <c r="P326" s="11"/>
      <c r="Q326" s="11" t="s">
        <v>1800</v>
      </c>
      <c r="R326" s="11"/>
      <c r="S326" s="24" t="s">
        <v>30</v>
      </c>
      <c r="T326" s="24"/>
      <c r="U326" s="24" t="str">
        <f t="shared" si="6"/>
        <v/>
      </c>
      <c r="V326" s="24"/>
    </row>
    <row r="327" spans="1:22" ht="76.5">
      <c r="A327" s="10" t="s">
        <v>224</v>
      </c>
      <c r="B327" s="11" t="str">
        <f>IFERROR(VLOOKUP(A327,Systems!A:B,2,FALSE),"Various")</f>
        <v>Bilge system</v>
      </c>
      <c r="C327" s="11" t="s">
        <v>1005</v>
      </c>
      <c r="D327" s="11"/>
      <c r="E327" s="11"/>
      <c r="F327" s="24" t="s">
        <v>1412</v>
      </c>
      <c r="G327" s="38"/>
      <c r="H327" s="11" t="s">
        <v>1006</v>
      </c>
      <c r="I327" s="11"/>
      <c r="J327" s="11"/>
      <c r="K327" s="11"/>
      <c r="L327" s="11"/>
      <c r="M327" s="11"/>
      <c r="N327" s="11"/>
      <c r="O327" s="11"/>
      <c r="P327" s="11"/>
      <c r="Q327" s="11"/>
      <c r="R327" s="11"/>
      <c r="S327" s="24"/>
      <c r="T327" s="24"/>
      <c r="U327" s="24" t="str">
        <f t="shared" si="6"/>
        <v/>
      </c>
      <c r="V327" s="24"/>
    </row>
    <row r="328" spans="1:22" ht="165.75">
      <c r="A328" s="10" t="s">
        <v>224</v>
      </c>
      <c r="B328" s="11" t="str">
        <f>IFERROR(VLOOKUP(A328,Systems!A:B,2,FALSE),"Various")</f>
        <v>Bilge system</v>
      </c>
      <c r="C328" s="11" t="s">
        <v>1007</v>
      </c>
      <c r="D328" s="11"/>
      <c r="E328" s="11"/>
      <c r="F328" s="24" t="s">
        <v>1412</v>
      </c>
      <c r="G328" s="38"/>
      <c r="H328" s="11" t="s">
        <v>1008</v>
      </c>
      <c r="I328" s="11"/>
      <c r="J328" s="11" t="s">
        <v>1972</v>
      </c>
      <c r="K328" s="11"/>
      <c r="L328" s="11"/>
      <c r="M328" s="11"/>
      <c r="N328" s="11"/>
      <c r="O328" s="11"/>
      <c r="P328" s="11"/>
      <c r="Q328" s="11"/>
      <c r="R328" s="11"/>
      <c r="S328" s="24"/>
      <c r="T328" s="24"/>
      <c r="U328" s="24" t="str">
        <f t="shared" si="6"/>
        <v/>
      </c>
      <c r="V328" s="24"/>
    </row>
    <row r="329" spans="1:22" ht="102">
      <c r="A329" s="10" t="s">
        <v>224</v>
      </c>
      <c r="B329" s="11" t="str">
        <f>IFERROR(VLOOKUP(A329,Systems!A:B,2,FALSE),"Various")</f>
        <v>Bilge system</v>
      </c>
      <c r="C329" s="11" t="s">
        <v>1010</v>
      </c>
      <c r="D329" s="11"/>
      <c r="E329" s="11"/>
      <c r="F329" s="24" t="s">
        <v>1412</v>
      </c>
      <c r="G329" s="38"/>
      <c r="H329" s="11" t="s">
        <v>1009</v>
      </c>
      <c r="I329" s="11"/>
      <c r="J329" s="11"/>
      <c r="K329" s="11"/>
      <c r="L329" s="11"/>
      <c r="M329" s="11"/>
      <c r="N329" s="11"/>
      <c r="O329" s="11"/>
      <c r="P329" s="11" t="s">
        <v>1040</v>
      </c>
      <c r="Q329" s="11" t="s">
        <v>1795</v>
      </c>
      <c r="R329" s="11"/>
      <c r="S329" s="24"/>
      <c r="T329" s="24"/>
      <c r="U329" s="24" t="str">
        <f t="shared" si="6"/>
        <v/>
      </c>
      <c r="V329" s="24"/>
    </row>
    <row r="330" spans="1:22" ht="89.25">
      <c r="A330" s="10" t="s">
        <v>224</v>
      </c>
      <c r="B330" s="11" t="str">
        <f>IFERROR(VLOOKUP(A330,Systems!A:B,2,FALSE),"Various")</f>
        <v>Bilge system</v>
      </c>
      <c r="C330" s="11" t="s">
        <v>1011</v>
      </c>
      <c r="D330" s="11"/>
      <c r="E330" s="11"/>
      <c r="F330" s="24" t="s">
        <v>1412</v>
      </c>
      <c r="G330" s="38"/>
      <c r="H330" s="11" t="s">
        <v>1090</v>
      </c>
      <c r="I330" s="11"/>
      <c r="J330" s="11"/>
      <c r="K330" s="11"/>
      <c r="L330" s="11"/>
      <c r="M330" s="11"/>
      <c r="N330" s="11"/>
      <c r="O330" s="11"/>
      <c r="P330" s="11"/>
      <c r="Q330" s="11"/>
      <c r="R330" s="11"/>
      <c r="S330" s="24"/>
      <c r="T330" s="24"/>
      <c r="U330" s="24" t="str">
        <f t="shared" si="6"/>
        <v/>
      </c>
      <c r="V330" s="24"/>
    </row>
    <row r="331" spans="1:22" ht="51">
      <c r="A331" s="10" t="s">
        <v>224</v>
      </c>
      <c r="B331" s="11" t="str">
        <f>IFERROR(VLOOKUP(A331,Systems!A:B,2,FALSE),"Various")</f>
        <v>Bilge system</v>
      </c>
      <c r="C331" s="11" t="s">
        <v>1013</v>
      </c>
      <c r="D331" s="11"/>
      <c r="E331" s="11"/>
      <c r="F331" s="24" t="s">
        <v>1412</v>
      </c>
      <c r="G331" s="38"/>
      <c r="H331" s="11" t="s">
        <v>1012</v>
      </c>
      <c r="I331" s="11"/>
      <c r="J331" s="11"/>
      <c r="K331" s="11"/>
      <c r="L331" s="11"/>
      <c r="M331" s="11"/>
      <c r="N331" s="11"/>
      <c r="O331" s="11"/>
      <c r="P331" s="11"/>
      <c r="Q331" s="11"/>
      <c r="R331" s="11"/>
      <c r="S331" s="24"/>
      <c r="T331" s="24"/>
      <c r="U331" s="24" t="str">
        <f t="shared" si="6"/>
        <v/>
      </c>
      <c r="V331" s="24"/>
    </row>
    <row r="332" spans="1:22" ht="51">
      <c r="A332" s="10" t="s">
        <v>224</v>
      </c>
      <c r="B332" s="11" t="str">
        <f>IFERROR(VLOOKUP(A332,Systems!A:B,2,FALSE),"Various")</f>
        <v>Bilge system</v>
      </c>
      <c r="C332" s="11" t="s">
        <v>1015</v>
      </c>
      <c r="D332" s="11"/>
      <c r="E332" s="11"/>
      <c r="F332" s="24" t="s">
        <v>1412</v>
      </c>
      <c r="G332" s="38"/>
      <c r="H332" s="11" t="s">
        <v>1014</v>
      </c>
      <c r="I332" s="11"/>
      <c r="J332" s="11"/>
      <c r="K332" s="11"/>
      <c r="L332" s="11"/>
      <c r="M332" s="11"/>
      <c r="N332" s="11"/>
      <c r="O332" s="11"/>
      <c r="P332" s="11"/>
      <c r="Q332" s="11"/>
      <c r="R332" s="11"/>
      <c r="S332" s="24"/>
      <c r="T332" s="24"/>
      <c r="U332" s="24" t="str">
        <f t="shared" ref="U332:U349" si="7">IF(OR(NOT(H332=""),NOT(M332="")),"","x")</f>
        <v/>
      </c>
      <c r="V332" s="24"/>
    </row>
    <row r="333" spans="1:22" ht="102">
      <c r="A333" s="10" t="s">
        <v>224</v>
      </c>
      <c r="B333" s="11" t="str">
        <f>IFERROR(VLOOKUP(A333,Systems!A:B,2,FALSE),"Various")</f>
        <v>Bilge system</v>
      </c>
      <c r="C333" s="11" t="s">
        <v>1017</v>
      </c>
      <c r="D333" s="11"/>
      <c r="E333" s="11"/>
      <c r="F333" s="24" t="s">
        <v>1412</v>
      </c>
      <c r="G333" s="38"/>
      <c r="H333" s="11" t="s">
        <v>1016</v>
      </c>
      <c r="I333" s="11"/>
      <c r="J333" s="11"/>
      <c r="K333" s="11"/>
      <c r="L333" s="11"/>
      <c r="M333" s="11"/>
      <c r="N333" s="11"/>
      <c r="O333" s="11"/>
      <c r="P333" s="11"/>
      <c r="Q333" s="11"/>
      <c r="R333" s="11"/>
      <c r="S333" s="24"/>
      <c r="T333" s="24"/>
      <c r="U333" s="24" t="str">
        <f t="shared" si="7"/>
        <v/>
      </c>
      <c r="V333" s="24"/>
    </row>
    <row r="334" spans="1:22" ht="216.75">
      <c r="A334" s="10" t="s">
        <v>224</v>
      </c>
      <c r="B334" s="11" t="str">
        <f>IFERROR(VLOOKUP(A334,Systems!A:B,2,FALSE),"Various")</f>
        <v>Bilge system</v>
      </c>
      <c r="C334" s="11" t="s">
        <v>39</v>
      </c>
      <c r="D334" s="11"/>
      <c r="E334" s="11"/>
      <c r="F334" s="24" t="s">
        <v>1412</v>
      </c>
      <c r="G334" s="38"/>
      <c r="H334" s="11" t="s">
        <v>1018</v>
      </c>
      <c r="I334" s="11"/>
      <c r="J334" s="11"/>
      <c r="K334" s="11"/>
      <c r="L334" s="11"/>
      <c r="M334" s="11"/>
      <c r="N334" s="11"/>
      <c r="O334" s="11" t="s">
        <v>663</v>
      </c>
      <c r="P334" s="11"/>
      <c r="Q334" s="11"/>
      <c r="R334" s="11"/>
      <c r="S334" s="24" t="s">
        <v>30</v>
      </c>
      <c r="T334" s="24"/>
      <c r="U334" s="24" t="str">
        <f t="shared" si="7"/>
        <v/>
      </c>
      <c r="V334" s="24"/>
    </row>
    <row r="335" spans="1:22" ht="76.5">
      <c r="A335" s="10" t="s">
        <v>224</v>
      </c>
      <c r="B335" s="11" t="str">
        <f>IFERROR(VLOOKUP(A335,Systems!A:B,2,FALSE),"Various")</f>
        <v>Bilge system</v>
      </c>
      <c r="C335" s="11" t="s">
        <v>1019</v>
      </c>
      <c r="D335" s="11"/>
      <c r="E335" s="11"/>
      <c r="F335" s="24" t="s">
        <v>1412</v>
      </c>
      <c r="G335" s="38"/>
      <c r="H335" s="11" t="s">
        <v>1020</v>
      </c>
      <c r="I335" s="11"/>
      <c r="J335" s="11"/>
      <c r="K335" s="11"/>
      <c r="L335" s="11"/>
      <c r="M335" s="11"/>
      <c r="N335" s="11"/>
      <c r="O335" s="11"/>
      <c r="P335" s="11"/>
      <c r="Q335" s="11"/>
      <c r="R335" s="11"/>
      <c r="S335" s="24" t="s">
        <v>30</v>
      </c>
      <c r="T335" s="24"/>
      <c r="U335" s="24" t="str">
        <f t="shared" si="7"/>
        <v/>
      </c>
      <c r="V335" s="24"/>
    </row>
    <row r="336" spans="1:22" ht="89.25">
      <c r="A336" s="10" t="s">
        <v>224</v>
      </c>
      <c r="B336" s="11" t="str">
        <f>IFERROR(VLOOKUP(A336,Systems!A:B,2,FALSE),"Various")</f>
        <v>Bilge system</v>
      </c>
      <c r="C336" s="11" t="s">
        <v>1021</v>
      </c>
      <c r="D336" s="11"/>
      <c r="E336" s="11"/>
      <c r="F336" s="24" t="s">
        <v>1412</v>
      </c>
      <c r="G336" s="38"/>
      <c r="H336" s="11" t="s">
        <v>1024</v>
      </c>
      <c r="I336" s="11"/>
      <c r="J336" s="11"/>
      <c r="K336" s="11"/>
      <c r="L336" s="11"/>
      <c r="M336" s="11"/>
      <c r="N336" s="11"/>
      <c r="O336" s="11"/>
      <c r="P336" s="11"/>
      <c r="Q336" s="11"/>
      <c r="R336" s="11"/>
      <c r="S336" s="24" t="s">
        <v>30</v>
      </c>
      <c r="T336" s="24"/>
      <c r="U336" s="24" t="str">
        <f t="shared" si="7"/>
        <v/>
      </c>
      <c r="V336" s="24"/>
    </row>
    <row r="337" spans="1:22" ht="63.75">
      <c r="A337" s="10" t="s">
        <v>224</v>
      </c>
      <c r="B337" s="11" t="str">
        <f>IFERROR(VLOOKUP(A337,Systems!A:B,2,FALSE),"Various")</f>
        <v>Bilge system</v>
      </c>
      <c r="C337" s="11" t="s">
        <v>1022</v>
      </c>
      <c r="D337" s="11"/>
      <c r="E337" s="11"/>
      <c r="F337" s="24" t="s">
        <v>1412</v>
      </c>
      <c r="G337" s="38"/>
      <c r="H337" s="11" t="s">
        <v>1025</v>
      </c>
      <c r="I337" s="11"/>
      <c r="J337" s="11"/>
      <c r="K337" s="11"/>
      <c r="L337" s="11"/>
      <c r="M337" s="11"/>
      <c r="N337" s="11"/>
      <c r="O337" s="11"/>
      <c r="P337" s="11"/>
      <c r="Q337" s="11"/>
      <c r="R337" s="11"/>
      <c r="S337" s="24" t="s">
        <v>30</v>
      </c>
      <c r="T337" s="24"/>
      <c r="U337" s="24" t="str">
        <f t="shared" si="7"/>
        <v/>
      </c>
      <c r="V337" s="24"/>
    </row>
    <row r="338" spans="1:22" ht="140.25">
      <c r="A338" s="10" t="s">
        <v>224</v>
      </c>
      <c r="B338" s="11" t="str">
        <f>IFERROR(VLOOKUP(A338,Systems!A:B,2,FALSE),"Various")</f>
        <v>Bilge system</v>
      </c>
      <c r="C338" s="11" t="s">
        <v>1023</v>
      </c>
      <c r="D338" s="11"/>
      <c r="E338" s="11"/>
      <c r="F338" s="24" t="s">
        <v>1412</v>
      </c>
      <c r="G338" s="38"/>
      <c r="H338" s="11" t="s">
        <v>1026</v>
      </c>
      <c r="I338" s="11"/>
      <c r="J338" s="11"/>
      <c r="K338" s="11"/>
      <c r="L338" s="11"/>
      <c r="M338" s="11"/>
      <c r="N338" s="11"/>
      <c r="O338" s="11"/>
      <c r="P338" s="11"/>
      <c r="Q338" s="11"/>
      <c r="R338" s="11"/>
      <c r="S338" s="24" t="s">
        <v>30</v>
      </c>
      <c r="T338" s="24"/>
      <c r="U338" s="24" t="str">
        <f t="shared" si="7"/>
        <v/>
      </c>
      <c r="V338" s="24"/>
    </row>
    <row r="339" spans="1:22" ht="38.25">
      <c r="A339" s="10" t="s">
        <v>830</v>
      </c>
      <c r="B339" s="11" t="str">
        <f>IFERROR(VLOOKUP(A339,Systems!A:B,2,FALSE),"Various")</f>
        <v>Ballast system</v>
      </c>
      <c r="C339" s="11" t="s">
        <v>78</v>
      </c>
      <c r="D339" s="11"/>
      <c r="E339" s="11"/>
      <c r="F339" s="24" t="s">
        <v>1412</v>
      </c>
      <c r="G339" s="38"/>
      <c r="H339" s="11" t="s">
        <v>340</v>
      </c>
      <c r="I339" s="11"/>
      <c r="J339" s="11"/>
      <c r="K339" s="11"/>
      <c r="L339" s="11"/>
      <c r="M339" s="11" t="s">
        <v>335</v>
      </c>
      <c r="N339" s="11"/>
      <c r="O339" s="11"/>
      <c r="P339" s="11" t="s">
        <v>340</v>
      </c>
      <c r="Q339" s="11"/>
      <c r="R339" s="11"/>
      <c r="S339" s="24" t="s">
        <v>30</v>
      </c>
      <c r="T339" s="24"/>
      <c r="U339" s="24" t="str">
        <f t="shared" si="7"/>
        <v/>
      </c>
      <c r="V339" s="24"/>
    </row>
    <row r="340" spans="1:22">
      <c r="A340" s="10" t="s">
        <v>830</v>
      </c>
      <c r="B340" s="11" t="str">
        <f>IFERROR(VLOOKUP(A340,Systems!A:B,2,FALSE),"Various")</f>
        <v>Ballast system</v>
      </c>
      <c r="C340" s="11" t="s">
        <v>31</v>
      </c>
      <c r="D340" s="11"/>
      <c r="E340" s="11"/>
      <c r="F340" s="24" t="s">
        <v>1412</v>
      </c>
      <c r="G340" s="38"/>
      <c r="H340" s="11" t="s">
        <v>340</v>
      </c>
      <c r="I340" s="11"/>
      <c r="J340" s="11"/>
      <c r="K340" s="11"/>
      <c r="L340" s="11"/>
      <c r="M340" s="11" t="s">
        <v>336</v>
      </c>
      <c r="N340" s="11"/>
      <c r="O340" s="11"/>
      <c r="P340" s="11" t="s">
        <v>340</v>
      </c>
      <c r="Q340" s="11"/>
      <c r="R340" s="11"/>
      <c r="S340" s="24" t="s">
        <v>30</v>
      </c>
      <c r="T340" s="24"/>
      <c r="U340" s="24" t="str">
        <f t="shared" si="7"/>
        <v/>
      </c>
      <c r="V340" s="24"/>
    </row>
    <row r="341" spans="1:22" ht="216.75">
      <c r="A341" s="10" t="s">
        <v>830</v>
      </c>
      <c r="B341" s="11" t="str">
        <f>IFERROR(VLOOKUP(A341,Systems!A:B,2,FALSE),"Various")</f>
        <v>Ballast system</v>
      </c>
      <c r="C341" s="11" t="s">
        <v>36</v>
      </c>
      <c r="D341" s="11"/>
      <c r="E341" s="11"/>
      <c r="F341" s="24" t="s">
        <v>1412</v>
      </c>
      <c r="G341" s="38"/>
      <c r="H341" s="11" t="s">
        <v>1061</v>
      </c>
      <c r="I341" s="11"/>
      <c r="J341" s="11"/>
      <c r="K341" s="11"/>
      <c r="L341" s="11"/>
      <c r="M341" s="11"/>
      <c r="N341" s="11"/>
      <c r="O341" s="11" t="s">
        <v>670</v>
      </c>
      <c r="P341" s="11" t="s">
        <v>330</v>
      </c>
      <c r="Q341" s="11"/>
      <c r="R341" s="11"/>
      <c r="S341" s="24" t="s">
        <v>30</v>
      </c>
      <c r="T341" s="24"/>
      <c r="U341" s="24" t="str">
        <f t="shared" si="7"/>
        <v/>
      </c>
      <c r="V341" s="24"/>
    </row>
    <row r="342" spans="1:22" ht="153">
      <c r="A342" s="10" t="s">
        <v>830</v>
      </c>
      <c r="B342" s="11" t="str">
        <f>IFERROR(VLOOKUP(A342,Systems!A:B,2,FALSE),"Various")</f>
        <v>Ballast system</v>
      </c>
      <c r="C342" s="11" t="s">
        <v>35</v>
      </c>
      <c r="D342" s="11"/>
      <c r="E342" s="11"/>
      <c r="F342" s="24" t="s">
        <v>1412</v>
      </c>
      <c r="G342" s="38"/>
      <c r="H342" s="11" t="s">
        <v>331</v>
      </c>
      <c r="I342" s="11"/>
      <c r="J342" s="11"/>
      <c r="K342" s="11"/>
      <c r="L342" s="11"/>
      <c r="M342" s="11"/>
      <c r="N342" s="11"/>
      <c r="O342" s="11"/>
      <c r="P342" s="11" t="s">
        <v>331</v>
      </c>
      <c r="Q342" s="11"/>
      <c r="R342" s="11"/>
      <c r="S342" s="24" t="s">
        <v>30</v>
      </c>
      <c r="T342" s="24"/>
      <c r="U342" s="24" t="str">
        <f t="shared" si="7"/>
        <v/>
      </c>
      <c r="V342" s="24"/>
    </row>
    <row r="343" spans="1:22" ht="114.75">
      <c r="A343" s="10" t="s">
        <v>830</v>
      </c>
      <c r="B343" s="11" t="str">
        <f>IFERROR(VLOOKUP(A343,Systems!A:B,2,FALSE),"Various")</f>
        <v>Ballast system</v>
      </c>
      <c r="C343" s="11" t="s">
        <v>35</v>
      </c>
      <c r="D343" s="11"/>
      <c r="E343" s="11"/>
      <c r="F343" s="24" t="s">
        <v>1412</v>
      </c>
      <c r="G343" s="38"/>
      <c r="H343" s="11" t="s">
        <v>1062</v>
      </c>
      <c r="I343" s="11"/>
      <c r="J343" s="11"/>
      <c r="K343" s="11"/>
      <c r="L343" s="11"/>
      <c r="M343" s="11"/>
      <c r="N343" s="11"/>
      <c r="O343" s="11"/>
      <c r="P343" s="11" t="s">
        <v>332</v>
      </c>
      <c r="Q343" s="11"/>
      <c r="R343" s="11"/>
      <c r="S343" s="24" t="s">
        <v>30</v>
      </c>
      <c r="T343" s="24"/>
      <c r="U343" s="24" t="str">
        <f t="shared" si="7"/>
        <v/>
      </c>
      <c r="V343" s="24"/>
    </row>
    <row r="344" spans="1:22" ht="165.75">
      <c r="A344" s="10" t="s">
        <v>830</v>
      </c>
      <c r="B344" s="11" t="str">
        <f>IFERROR(VLOOKUP(A344,Systems!A:B,2,FALSE),"Various")</f>
        <v>Ballast system</v>
      </c>
      <c r="C344" s="11" t="s">
        <v>35</v>
      </c>
      <c r="D344" s="11"/>
      <c r="E344" s="11"/>
      <c r="F344" s="24" t="s">
        <v>1412</v>
      </c>
      <c r="G344" s="38"/>
      <c r="H344" s="11" t="s">
        <v>1063</v>
      </c>
      <c r="I344" s="11"/>
      <c r="J344" s="11"/>
      <c r="K344" s="11"/>
      <c r="L344" s="11"/>
      <c r="M344" s="11"/>
      <c r="N344" s="11"/>
      <c r="O344" s="11"/>
      <c r="P344" s="11" t="s">
        <v>333</v>
      </c>
      <c r="Q344" s="11"/>
      <c r="R344" s="11"/>
      <c r="S344" s="24" t="s">
        <v>30</v>
      </c>
      <c r="T344" s="24"/>
      <c r="U344" s="24" t="str">
        <f t="shared" si="7"/>
        <v/>
      </c>
      <c r="V344" s="24"/>
    </row>
    <row r="345" spans="1:22" ht="204">
      <c r="A345" s="10" t="s">
        <v>830</v>
      </c>
      <c r="B345" s="11" t="str">
        <f>IFERROR(VLOOKUP(A345,Systems!A:B,2,FALSE),"Various")</f>
        <v>Ballast system</v>
      </c>
      <c r="C345" s="11" t="s">
        <v>35</v>
      </c>
      <c r="D345" s="11"/>
      <c r="E345" s="11"/>
      <c r="F345" s="24" t="s">
        <v>1412</v>
      </c>
      <c r="G345" s="38"/>
      <c r="H345" s="11" t="s">
        <v>334</v>
      </c>
      <c r="I345" s="11"/>
      <c r="J345" s="11"/>
      <c r="K345" s="11"/>
      <c r="L345" s="11"/>
      <c r="M345" s="11"/>
      <c r="N345" s="11"/>
      <c r="O345" s="11"/>
      <c r="P345" s="11" t="s">
        <v>334</v>
      </c>
      <c r="Q345" s="11"/>
      <c r="R345" s="11"/>
      <c r="S345" s="24" t="s">
        <v>30</v>
      </c>
      <c r="T345" s="24"/>
      <c r="U345" s="24" t="str">
        <f t="shared" si="7"/>
        <v/>
      </c>
      <c r="V345" s="24"/>
    </row>
    <row r="346" spans="1:22" ht="216.75">
      <c r="A346" s="10" t="s">
        <v>1809</v>
      </c>
      <c r="B346" s="11" t="str">
        <f>IFERROR(VLOOKUP(A346,Systems!A:B,2,FALSE),"Various")</f>
        <v>Various</v>
      </c>
      <c r="C346" s="11" t="s">
        <v>2028</v>
      </c>
      <c r="D346" s="11"/>
      <c r="E346" s="11"/>
      <c r="F346" s="24" t="s">
        <v>1412</v>
      </c>
      <c r="G346" s="38"/>
      <c r="H346" s="11" t="s">
        <v>1810</v>
      </c>
      <c r="I346" s="11"/>
      <c r="J346" s="11"/>
      <c r="K346" s="11"/>
      <c r="L346" s="11"/>
      <c r="M346" s="11" t="s">
        <v>359</v>
      </c>
      <c r="N346" s="11"/>
      <c r="O346" s="11"/>
      <c r="P346" s="24" t="s">
        <v>30</v>
      </c>
      <c r="Q346" s="24"/>
      <c r="R346" s="24" t="s">
        <v>1811</v>
      </c>
      <c r="S346" s="24" t="s">
        <v>30</v>
      </c>
      <c r="T346" s="24"/>
      <c r="U346" s="24" t="str">
        <f t="shared" si="7"/>
        <v/>
      </c>
      <c r="V346" s="24"/>
    </row>
    <row r="347" spans="1:22" ht="102">
      <c r="A347" s="10" t="s">
        <v>2036</v>
      </c>
      <c r="B347" s="11" t="str">
        <f>IFERROR(VLOOKUP(A347,Systems!A:B,2,FALSE),"Various")</f>
        <v>Various</v>
      </c>
      <c r="C347" s="11" t="s">
        <v>2037</v>
      </c>
      <c r="D347" s="11"/>
      <c r="E347" s="11"/>
      <c r="F347" s="24" t="s">
        <v>1412</v>
      </c>
      <c r="G347" s="38"/>
      <c r="H347" s="11" t="s">
        <v>2040</v>
      </c>
      <c r="I347" s="11"/>
      <c r="J347" s="11"/>
      <c r="K347" s="11"/>
      <c r="L347" s="11"/>
      <c r="M347" s="11"/>
      <c r="N347" s="11"/>
      <c r="O347" s="11"/>
      <c r="P347" s="24"/>
      <c r="Q347" s="24"/>
      <c r="R347" s="24"/>
      <c r="S347" s="24" t="s">
        <v>30</v>
      </c>
      <c r="T347" s="24"/>
      <c r="U347" s="24" t="str">
        <f t="shared" si="7"/>
        <v/>
      </c>
      <c r="V347" s="24"/>
    </row>
    <row r="348" spans="1:22" ht="102">
      <c r="A348" s="10" t="s">
        <v>2036</v>
      </c>
      <c r="B348" s="11" t="str">
        <f>IFERROR(VLOOKUP(A348,Systems!A:B,2,FALSE),"Various")</f>
        <v>Various</v>
      </c>
      <c r="C348" s="11" t="s">
        <v>2038</v>
      </c>
      <c r="D348" s="11"/>
      <c r="E348" s="11"/>
      <c r="F348" s="24" t="s">
        <v>1412</v>
      </c>
      <c r="G348" s="38"/>
      <c r="H348" s="11" t="s">
        <v>2041</v>
      </c>
      <c r="I348" s="11"/>
      <c r="J348" s="11"/>
      <c r="K348" s="11"/>
      <c r="L348" s="11"/>
      <c r="M348" s="11"/>
      <c r="N348" s="11"/>
      <c r="O348" s="11"/>
      <c r="P348" s="24"/>
      <c r="Q348" s="24"/>
      <c r="R348" s="24"/>
      <c r="S348" s="24"/>
      <c r="T348" s="24"/>
      <c r="U348" s="24" t="str">
        <f t="shared" si="7"/>
        <v/>
      </c>
      <c r="V348" s="24"/>
    </row>
    <row r="349" spans="1:22" ht="140.25">
      <c r="A349" s="10" t="s">
        <v>2036</v>
      </c>
      <c r="B349" s="11" t="str">
        <f>IFERROR(VLOOKUP(A349,Systems!A:B,2,FALSE),"Various")</f>
        <v>Various</v>
      </c>
      <c r="C349" s="11" t="s">
        <v>2039</v>
      </c>
      <c r="D349" s="11"/>
      <c r="E349" s="11"/>
      <c r="F349" s="24" t="s">
        <v>1412</v>
      </c>
      <c r="G349" s="38"/>
      <c r="H349" s="11" t="s">
        <v>2042</v>
      </c>
      <c r="I349" s="11"/>
      <c r="J349" s="11"/>
      <c r="K349" s="11"/>
      <c r="L349" s="11"/>
      <c r="M349" s="11"/>
      <c r="N349" s="11"/>
      <c r="O349" s="11"/>
      <c r="P349" s="24"/>
      <c r="Q349" s="24"/>
      <c r="R349" s="24"/>
      <c r="S349" s="24" t="s">
        <v>30</v>
      </c>
      <c r="T349" s="24"/>
      <c r="U349" s="24" t="str">
        <f t="shared" si="7"/>
        <v/>
      </c>
      <c r="V349" s="24"/>
    </row>
    <row r="350" spans="1:22" ht="102">
      <c r="A350" s="10" t="s">
        <v>155</v>
      </c>
      <c r="B350" s="11" t="str">
        <f>IFERROR(VLOOKUP(A350,Systems!A:B,2,FALSE),"Various")</f>
        <v>Sanitary gravity discharge system</v>
      </c>
      <c r="C350" s="11" t="s">
        <v>1446</v>
      </c>
      <c r="D350" s="11"/>
      <c r="E350" s="11"/>
      <c r="F350" s="24" t="s">
        <v>1412</v>
      </c>
      <c r="G350" s="38"/>
      <c r="H350" s="11" t="s">
        <v>1469</v>
      </c>
      <c r="I350" s="11"/>
      <c r="J350" s="11"/>
      <c r="K350" s="11"/>
      <c r="L350" s="11"/>
      <c r="M350" s="11"/>
      <c r="N350" s="11"/>
      <c r="O350" s="11"/>
      <c r="P350" s="11"/>
      <c r="Q350" s="11"/>
      <c r="R350" s="11"/>
      <c r="S350" s="24"/>
      <c r="T350" s="24"/>
      <c r="U350" s="24"/>
      <c r="V350" s="24"/>
    </row>
    <row r="351" spans="1:22" ht="25.5">
      <c r="A351" s="10" t="s">
        <v>155</v>
      </c>
      <c r="B351" s="11" t="str">
        <f>IFERROR(VLOOKUP(A351,Systems!A:B,2,FALSE),"Various")</f>
        <v>Sanitary gravity discharge system</v>
      </c>
      <c r="C351" s="11" t="s">
        <v>1445</v>
      </c>
      <c r="D351" s="11"/>
      <c r="E351" s="11"/>
      <c r="F351" s="24" t="s">
        <v>1412</v>
      </c>
      <c r="G351" s="38"/>
      <c r="H351" s="11" t="s">
        <v>1467</v>
      </c>
      <c r="I351" s="11"/>
      <c r="J351" s="11"/>
      <c r="K351" s="11"/>
      <c r="L351" s="11"/>
      <c r="M351" s="11"/>
      <c r="N351" s="11"/>
      <c r="O351" s="11"/>
      <c r="P351" s="11"/>
      <c r="Q351" s="11"/>
      <c r="R351" s="11"/>
      <c r="S351" s="24"/>
      <c r="T351" s="24"/>
      <c r="U351" s="24"/>
      <c r="V351" s="24"/>
    </row>
    <row r="352" spans="1:22" ht="63.75">
      <c r="A352" s="10" t="s">
        <v>155</v>
      </c>
      <c r="B352" s="11" t="str">
        <f>IFERROR(VLOOKUP(A352,Systems!A:B,2,FALSE),"Various")</f>
        <v>Sanitary gravity discharge system</v>
      </c>
      <c r="C352" s="11" t="s">
        <v>1447</v>
      </c>
      <c r="D352" s="11"/>
      <c r="E352" s="11"/>
      <c r="F352" s="24" t="s">
        <v>1412</v>
      </c>
      <c r="G352" s="38"/>
      <c r="H352" s="11" t="s">
        <v>1468</v>
      </c>
      <c r="I352" s="11"/>
      <c r="J352" s="11"/>
      <c r="K352" s="11"/>
      <c r="L352" s="11"/>
      <c r="M352" s="11"/>
      <c r="N352" s="11"/>
      <c r="O352" s="11"/>
      <c r="P352" s="11"/>
      <c r="Q352" s="11"/>
      <c r="R352" s="11"/>
      <c r="S352" s="24"/>
      <c r="T352" s="24"/>
      <c r="U352" s="24"/>
      <c r="V352" s="24"/>
    </row>
    <row r="353" spans="1:22" ht="38.25">
      <c r="A353" s="10" t="s">
        <v>155</v>
      </c>
      <c r="B353" s="11" t="str">
        <f>IFERROR(VLOOKUP(A353,Systems!A:B,2,FALSE),"Various")</f>
        <v>Sanitary gravity discharge system</v>
      </c>
      <c r="C353" s="11" t="s">
        <v>1448</v>
      </c>
      <c r="D353" s="11"/>
      <c r="E353" s="11"/>
      <c r="F353" s="24" t="s">
        <v>1412</v>
      </c>
      <c r="G353" s="38"/>
      <c r="H353" s="11" t="s">
        <v>1470</v>
      </c>
      <c r="I353" s="11"/>
      <c r="J353" s="11"/>
      <c r="K353" s="11"/>
      <c r="L353" s="11"/>
      <c r="M353" s="11"/>
      <c r="N353" s="11"/>
      <c r="O353" s="11"/>
      <c r="P353" s="11"/>
      <c r="Q353" s="11"/>
      <c r="R353" s="11"/>
      <c r="S353" s="24"/>
      <c r="T353" s="24"/>
      <c r="U353" s="24" t="str">
        <f t="shared" ref="U353:U364" si="8">IF(OR(NOT(H353=""),NOT(M353="")),"","x")</f>
        <v/>
      </c>
      <c r="V353" s="24"/>
    </row>
    <row r="354" spans="1:22" ht="191.25">
      <c r="A354" s="10" t="s">
        <v>2034</v>
      </c>
      <c r="B354" s="11" t="str">
        <f>IFERROR(VLOOKUP(A354,Systems!A:B,2,FALSE),"Various")</f>
        <v>Various</v>
      </c>
      <c r="C354" s="11" t="s">
        <v>2029</v>
      </c>
      <c r="D354" s="11"/>
      <c r="E354" s="11"/>
      <c r="F354" s="24" t="s">
        <v>1412</v>
      </c>
      <c r="G354" s="38"/>
      <c r="H354" s="11" t="s">
        <v>2035</v>
      </c>
      <c r="I354" s="11"/>
      <c r="J354" s="11"/>
      <c r="K354" s="11"/>
      <c r="L354" s="11"/>
      <c r="M354" s="11"/>
      <c r="N354" s="11"/>
      <c r="O354" s="11"/>
      <c r="P354" s="11" t="s">
        <v>2030</v>
      </c>
      <c r="Q354" s="11"/>
      <c r="R354" s="11"/>
      <c r="S354" s="24" t="s">
        <v>30</v>
      </c>
      <c r="T354" s="24"/>
      <c r="U354" s="24" t="str">
        <f t="shared" si="8"/>
        <v/>
      </c>
      <c r="V354" s="24"/>
    </row>
    <row r="355" spans="1:22" ht="76.5">
      <c r="A355" s="10" t="s">
        <v>242</v>
      </c>
      <c r="B355" s="11" t="str">
        <f>IFERROR(VLOOKUP(A355,Systems!A:B,2,FALSE),"Various")</f>
        <v>Sounding and de-aeration</v>
      </c>
      <c r="C355" s="11" t="s">
        <v>1913</v>
      </c>
      <c r="D355" s="11"/>
      <c r="E355" s="11"/>
      <c r="F355" s="24" t="s">
        <v>1412</v>
      </c>
      <c r="G355" s="38"/>
      <c r="H355" s="11" t="s">
        <v>1471</v>
      </c>
      <c r="I355" s="11"/>
      <c r="J355" s="11"/>
      <c r="K355" s="11"/>
      <c r="L355" s="11"/>
      <c r="M355" s="11"/>
      <c r="N355" s="11"/>
      <c r="O355" s="11"/>
      <c r="P355" s="11" t="s">
        <v>2031</v>
      </c>
      <c r="Q355" s="11"/>
      <c r="R355" s="11"/>
      <c r="S355" s="24" t="s">
        <v>30</v>
      </c>
      <c r="T355" s="24"/>
      <c r="U355" s="24" t="str">
        <f t="shared" si="8"/>
        <v/>
      </c>
      <c r="V355" s="24"/>
    </row>
    <row r="356" spans="1:22" ht="51">
      <c r="A356" s="10" t="s">
        <v>155</v>
      </c>
      <c r="B356" s="11" t="str">
        <f>IFERROR(VLOOKUP(A356,Systems!A:B,2,FALSE),"Various")</f>
        <v>Sanitary gravity discharge system</v>
      </c>
      <c r="C356" s="11"/>
      <c r="D356" s="11"/>
      <c r="E356" s="11"/>
      <c r="F356" s="24" t="s">
        <v>1412</v>
      </c>
      <c r="G356" s="38"/>
      <c r="H356" s="11" t="s">
        <v>1472</v>
      </c>
      <c r="I356" s="11"/>
      <c r="J356" s="11"/>
      <c r="K356" s="11"/>
      <c r="L356" s="11"/>
      <c r="M356" s="11"/>
      <c r="N356" s="11"/>
      <c r="O356" s="11"/>
      <c r="P356" s="11" t="s">
        <v>2032</v>
      </c>
      <c r="Q356" s="11"/>
      <c r="R356" s="11"/>
      <c r="S356" s="24" t="s">
        <v>30</v>
      </c>
      <c r="T356" s="24"/>
      <c r="U356" s="24" t="str">
        <f t="shared" si="8"/>
        <v/>
      </c>
      <c r="V356" s="24"/>
    </row>
    <row r="357" spans="1:22" ht="51">
      <c r="A357" s="10" t="s">
        <v>155</v>
      </c>
      <c r="B357" s="11" t="str">
        <f>IFERROR(VLOOKUP(A357,Systems!A:B,2,FALSE),"Various")</f>
        <v>Sanitary gravity discharge system</v>
      </c>
      <c r="C357" s="11" t="s">
        <v>34</v>
      </c>
      <c r="D357" s="11"/>
      <c r="E357" s="11"/>
      <c r="F357" s="24" t="s">
        <v>1412</v>
      </c>
      <c r="G357" s="38"/>
      <c r="H357" s="11" t="s">
        <v>1473</v>
      </c>
      <c r="I357" s="11"/>
      <c r="J357" s="11"/>
      <c r="K357" s="11"/>
      <c r="L357" s="11"/>
      <c r="M357" s="11"/>
      <c r="N357" s="11"/>
      <c r="O357" s="11"/>
      <c r="P357" s="11" t="s">
        <v>2033</v>
      </c>
      <c r="Q357" s="11"/>
      <c r="R357" s="11"/>
      <c r="S357" s="24" t="s">
        <v>30</v>
      </c>
      <c r="T357" s="24"/>
      <c r="U357" s="24" t="str">
        <f t="shared" si="8"/>
        <v/>
      </c>
      <c r="V357" s="24"/>
    </row>
    <row r="358" spans="1:22" ht="255">
      <c r="A358" s="10" t="s">
        <v>155</v>
      </c>
      <c r="B358" s="11" t="str">
        <f>IFERROR(VLOOKUP(A358,Systems!A:B,2,FALSE),"Various")</f>
        <v>Sanitary gravity discharge system</v>
      </c>
      <c r="C358" s="11" t="s">
        <v>369</v>
      </c>
      <c r="D358" s="11"/>
      <c r="E358" s="11"/>
      <c r="F358" s="24" t="s">
        <v>1412</v>
      </c>
      <c r="G358" s="38"/>
      <c r="H358" s="11" t="s">
        <v>1429</v>
      </c>
      <c r="I358" s="11"/>
      <c r="J358" s="11"/>
      <c r="K358" s="11"/>
      <c r="L358" s="11"/>
      <c r="M358" s="11"/>
      <c r="N358" s="11"/>
      <c r="O358" s="11"/>
      <c r="P358" s="11" t="s">
        <v>370</v>
      </c>
      <c r="Q358" s="11"/>
      <c r="R358" s="11"/>
      <c r="S358" s="24" t="s">
        <v>30</v>
      </c>
      <c r="T358" s="24"/>
      <c r="U358" s="24" t="str">
        <f t="shared" si="8"/>
        <v/>
      </c>
      <c r="V358" s="24"/>
    </row>
    <row r="359" spans="1:22" ht="89.25">
      <c r="A359" s="10" t="s">
        <v>242</v>
      </c>
      <c r="B359" s="11" t="str">
        <f>IFERROR(VLOOKUP(A359,Systems!A:B,2,FALSE),"Various")</f>
        <v>Sounding and de-aeration</v>
      </c>
      <c r="C359" s="11" t="s">
        <v>378</v>
      </c>
      <c r="D359" s="11" t="s">
        <v>1908</v>
      </c>
      <c r="E359" s="11"/>
      <c r="F359" s="24" t="s">
        <v>1412</v>
      </c>
      <c r="G359" s="38"/>
      <c r="H359" s="11" t="s">
        <v>1988</v>
      </c>
      <c r="I359" s="11"/>
      <c r="J359" s="11" t="s">
        <v>1989</v>
      </c>
      <c r="K359" s="11"/>
      <c r="L359" s="11"/>
      <c r="M359" s="11"/>
      <c r="N359" s="11"/>
      <c r="O359" s="11"/>
      <c r="P359" s="11" t="s">
        <v>1911</v>
      </c>
      <c r="Q359" s="11"/>
      <c r="R359" s="11"/>
      <c r="S359" s="24" t="s">
        <v>30</v>
      </c>
      <c r="T359" s="24"/>
      <c r="U359" s="24" t="str">
        <f t="shared" si="8"/>
        <v/>
      </c>
      <c r="V359" s="24"/>
    </row>
    <row r="360" spans="1:22" ht="216.75">
      <c r="A360" s="10" t="s">
        <v>242</v>
      </c>
      <c r="B360" s="11" t="str">
        <f>IFERROR(VLOOKUP(A360,Systems!A:B,2,FALSE),"Various")</f>
        <v>Sounding and de-aeration</v>
      </c>
      <c r="C360" s="11" t="s">
        <v>1910</v>
      </c>
      <c r="D360" s="11" t="s">
        <v>1909</v>
      </c>
      <c r="E360" s="11"/>
      <c r="F360" s="24" t="s">
        <v>1412</v>
      </c>
      <c r="G360" s="38"/>
      <c r="H360" s="11" t="s">
        <v>1993</v>
      </c>
      <c r="I360" s="11"/>
      <c r="J360" s="11" t="s">
        <v>1990</v>
      </c>
      <c r="K360" s="11"/>
      <c r="L360" s="11"/>
      <c r="M360" s="11"/>
      <c r="N360" s="11"/>
      <c r="O360" s="11"/>
      <c r="P360" s="11" t="s">
        <v>1912</v>
      </c>
      <c r="Q360" s="11"/>
      <c r="R360" s="11"/>
      <c r="S360" s="24" t="s">
        <v>30</v>
      </c>
      <c r="T360" s="24"/>
      <c r="U360" s="24" t="str">
        <f t="shared" si="8"/>
        <v/>
      </c>
      <c r="V360" s="24"/>
    </row>
    <row r="361" spans="1:22" ht="409.5">
      <c r="A361" s="10" t="s">
        <v>242</v>
      </c>
      <c r="B361" s="11" t="str">
        <f>IFERROR(VLOOKUP(A361,Systems!A:B,2,FALSE),"Various")</f>
        <v>Sounding and de-aeration</v>
      </c>
      <c r="C361" s="11" t="s">
        <v>1994</v>
      </c>
      <c r="D361" s="11"/>
      <c r="E361" s="11"/>
      <c r="F361" s="24" t="s">
        <v>1412</v>
      </c>
      <c r="G361" s="38"/>
      <c r="H361" s="11" t="s">
        <v>1995</v>
      </c>
      <c r="I361" s="11"/>
      <c r="J361" s="11" t="s">
        <v>2019</v>
      </c>
      <c r="K361" s="11"/>
      <c r="L361" s="11"/>
      <c r="M361" s="11"/>
      <c r="N361" s="11"/>
      <c r="O361" s="11"/>
      <c r="P361" s="11"/>
      <c r="Q361" s="11"/>
      <c r="R361" s="11"/>
      <c r="S361" s="24"/>
      <c r="T361" s="24"/>
      <c r="U361" s="24" t="str">
        <f t="shared" si="8"/>
        <v/>
      </c>
      <c r="V361" s="24"/>
    </row>
    <row r="362" spans="1:22" ht="409.5">
      <c r="A362" s="10" t="s">
        <v>242</v>
      </c>
      <c r="B362" s="11" t="str">
        <f>IFERROR(VLOOKUP(A362,Systems!A:B,2,FALSE),"Various")</f>
        <v>Sounding and de-aeration</v>
      </c>
      <c r="C362" s="11" t="s">
        <v>379</v>
      </c>
      <c r="D362" s="11" t="s">
        <v>1930</v>
      </c>
      <c r="E362" s="11" t="s">
        <v>1931</v>
      </c>
      <c r="F362" s="24" t="s">
        <v>1412</v>
      </c>
      <c r="G362" s="38"/>
      <c r="H362" s="11" t="s">
        <v>1996</v>
      </c>
      <c r="I362" s="11"/>
      <c r="J362" s="11" t="s">
        <v>1986</v>
      </c>
      <c r="K362" s="11"/>
      <c r="L362" s="11"/>
      <c r="M362" s="11"/>
      <c r="N362" s="11"/>
      <c r="O362" s="11"/>
      <c r="P362" s="11" t="s">
        <v>380</v>
      </c>
      <c r="Q362" s="11"/>
      <c r="R362" s="11"/>
      <c r="S362" s="24" t="s">
        <v>30</v>
      </c>
      <c r="T362" s="24"/>
      <c r="U362" s="24" t="str">
        <f t="shared" si="8"/>
        <v/>
      </c>
      <c r="V362" s="24"/>
    </row>
    <row r="363" spans="1:22" ht="267.75">
      <c r="A363" s="10" t="s">
        <v>242</v>
      </c>
      <c r="B363" s="11" t="str">
        <f>IFERROR(VLOOKUP(A363,Systems!A:B,2,FALSE),"Various")</f>
        <v>Sounding and de-aeration</v>
      </c>
      <c r="C363" s="11" t="s">
        <v>1444</v>
      </c>
      <c r="D363" s="11" t="s">
        <v>1894</v>
      </c>
      <c r="E363" s="11" t="s">
        <v>1933</v>
      </c>
      <c r="F363" s="24" t="s">
        <v>1412</v>
      </c>
      <c r="G363" s="38"/>
      <c r="H363" s="11" t="s">
        <v>2021</v>
      </c>
      <c r="I363" s="11"/>
      <c r="J363" s="11" t="s">
        <v>2011</v>
      </c>
      <c r="K363" s="11"/>
      <c r="L363" s="11"/>
      <c r="M363" s="11"/>
      <c r="N363" s="11"/>
      <c r="O363" s="11"/>
      <c r="P363" s="11" t="s">
        <v>2023</v>
      </c>
      <c r="Q363" s="11"/>
      <c r="R363" s="11"/>
      <c r="S363" s="24" t="s">
        <v>30</v>
      </c>
      <c r="T363" s="24"/>
      <c r="U363" s="24" t="str">
        <f t="shared" si="8"/>
        <v/>
      </c>
      <c r="V363" s="24"/>
    </row>
    <row r="364" spans="1:22" ht="216.75">
      <c r="A364" s="10" t="s">
        <v>242</v>
      </c>
      <c r="B364" s="11" t="str">
        <f>IFERROR(VLOOKUP(A364,Systems!A:B,2,FALSE),"Various")</f>
        <v>Sounding and de-aeration</v>
      </c>
      <c r="C364" s="11" t="s">
        <v>2024</v>
      </c>
      <c r="D364" s="11"/>
      <c r="E364" s="11"/>
      <c r="F364" s="24" t="s">
        <v>1412</v>
      </c>
      <c r="G364" s="38"/>
      <c r="H364" s="11" t="s">
        <v>2026</v>
      </c>
      <c r="I364" s="11"/>
      <c r="J364" s="11" t="s">
        <v>2025</v>
      </c>
      <c r="K364" s="11"/>
      <c r="L364" s="11"/>
      <c r="M364" s="11"/>
      <c r="N364" s="11"/>
      <c r="O364" s="11"/>
      <c r="P364" s="11" t="s">
        <v>2022</v>
      </c>
      <c r="Q364" s="11"/>
      <c r="R364" s="11"/>
      <c r="S364" s="24"/>
      <c r="T364" s="24"/>
      <c r="U364" s="24" t="str">
        <f t="shared" si="8"/>
        <v/>
      </c>
      <c r="V364" s="24"/>
    </row>
    <row r="365" spans="1:22" ht="102">
      <c r="A365" s="10" t="s">
        <v>242</v>
      </c>
      <c r="B365" s="11" t="str">
        <f>IFERROR(VLOOKUP(A365,Systems!A:B,2,FALSE),"Various")</f>
        <v>Sounding and de-aeration</v>
      </c>
      <c r="C365" s="11" t="s">
        <v>1917</v>
      </c>
      <c r="D365" s="11" t="s">
        <v>1923</v>
      </c>
      <c r="E365" s="11"/>
      <c r="F365" s="24" t="s">
        <v>1412</v>
      </c>
      <c r="G365" s="38"/>
      <c r="H365" s="11" t="s">
        <v>1457</v>
      </c>
      <c r="I365" s="11"/>
      <c r="J365" s="11" t="s">
        <v>1987</v>
      </c>
      <c r="K365" s="11"/>
      <c r="L365" s="11"/>
      <c r="M365" s="11"/>
      <c r="N365" s="11"/>
      <c r="O365" s="11"/>
      <c r="P365" s="11"/>
      <c r="Q365" s="11"/>
      <c r="R365" s="11"/>
      <c r="S365" s="24"/>
      <c r="T365" s="24"/>
      <c r="U365" s="24"/>
      <c r="V365" s="24"/>
    </row>
    <row r="366" spans="1:22" ht="25.5">
      <c r="A366" s="10" t="s">
        <v>242</v>
      </c>
      <c r="B366" s="11" t="str">
        <f>IFERROR(VLOOKUP(A366,Systems!A:B,2,FALSE),"Various")</f>
        <v>Sounding and de-aeration</v>
      </c>
      <c r="C366" s="11" t="s">
        <v>1918</v>
      </c>
      <c r="D366" s="11"/>
      <c r="E366" s="11"/>
      <c r="F366" s="24" t="s">
        <v>1412</v>
      </c>
      <c r="G366" s="38"/>
      <c r="H366" s="11" t="s">
        <v>1458</v>
      </c>
      <c r="I366" s="11"/>
      <c r="J366" s="11" t="s">
        <v>2012</v>
      </c>
      <c r="K366" s="11"/>
      <c r="L366" s="11"/>
      <c r="M366" s="11"/>
      <c r="N366" s="11"/>
      <c r="O366" s="11"/>
      <c r="P366" s="11"/>
      <c r="Q366" s="11"/>
      <c r="R366" s="11"/>
      <c r="S366" s="24"/>
      <c r="T366" s="24"/>
      <c r="U366" s="24" t="str">
        <f>IF(OR(NOT(H366=""),NOT(M366="")),"","x")</f>
        <v/>
      </c>
      <c r="V366" s="24"/>
    </row>
    <row r="367" spans="1:22" ht="63.75">
      <c r="A367" s="10" t="s">
        <v>242</v>
      </c>
      <c r="B367" s="11" t="str">
        <f>IFERROR(VLOOKUP(A367,Systems!A:B,2,FALSE),"Various")</f>
        <v>Sounding and de-aeration</v>
      </c>
      <c r="C367" s="11" t="s">
        <v>1919</v>
      </c>
      <c r="D367" s="11" t="s">
        <v>1895</v>
      </c>
      <c r="E367" s="11"/>
      <c r="F367" s="24" t="s">
        <v>1412</v>
      </c>
      <c r="G367" s="38"/>
      <c r="H367" s="11" t="s">
        <v>1459</v>
      </c>
      <c r="I367" s="11"/>
      <c r="J367" s="11"/>
      <c r="K367" s="11"/>
      <c r="L367" s="11"/>
      <c r="M367" s="11"/>
      <c r="N367" s="11"/>
      <c r="O367" s="11"/>
      <c r="P367" s="11"/>
      <c r="Q367" s="11"/>
      <c r="R367" s="11"/>
      <c r="S367" s="24"/>
      <c r="T367" s="24"/>
      <c r="U367" s="24" t="str">
        <f>IF(OR(NOT(H367=""),NOT(M367="")),"","x")</f>
        <v/>
      </c>
      <c r="V367" s="24"/>
    </row>
    <row r="368" spans="1:22" ht="51">
      <c r="A368" s="10" t="s">
        <v>242</v>
      </c>
      <c r="B368" s="11" t="str">
        <f>IFERROR(VLOOKUP(A368,Systems!A:B,2,FALSE),"Various")</f>
        <v>Sounding and de-aeration</v>
      </c>
      <c r="C368" s="11" t="s">
        <v>1915</v>
      </c>
      <c r="D368" s="11" t="s">
        <v>1920</v>
      </c>
      <c r="E368" s="11"/>
      <c r="F368" s="24" t="s">
        <v>1412</v>
      </c>
      <c r="G368" s="38"/>
      <c r="H368" s="11" t="s">
        <v>1460</v>
      </c>
      <c r="I368" s="11"/>
      <c r="J368" s="11"/>
      <c r="K368" s="11"/>
      <c r="L368" s="11"/>
      <c r="M368" s="11"/>
      <c r="N368" s="11"/>
      <c r="O368" s="11"/>
      <c r="P368" s="11"/>
      <c r="Q368" s="11"/>
      <c r="R368" s="11"/>
      <c r="S368" s="24"/>
      <c r="T368" s="24"/>
      <c r="U368" s="24"/>
      <c r="V368" s="24"/>
    </row>
    <row r="369" spans="1:22" ht="306">
      <c r="A369" s="10" t="s">
        <v>242</v>
      </c>
      <c r="B369" s="11" t="str">
        <f>IFERROR(VLOOKUP(A369,Systems!A:B,2,FALSE),"Various")</f>
        <v>Sounding and de-aeration</v>
      </c>
      <c r="C369" s="11" t="s">
        <v>1922</v>
      </c>
      <c r="D369" s="11" t="s">
        <v>1921</v>
      </c>
      <c r="E369" s="11"/>
      <c r="F369" s="24" t="s">
        <v>1412</v>
      </c>
      <c r="G369" s="38"/>
      <c r="H369" s="11" t="s">
        <v>1461</v>
      </c>
      <c r="I369" s="11"/>
      <c r="J369" s="11"/>
      <c r="K369" s="11"/>
      <c r="L369" s="11"/>
      <c r="M369" s="11"/>
      <c r="N369" s="11"/>
      <c r="O369" s="11"/>
      <c r="P369" s="11"/>
      <c r="Q369" s="11"/>
      <c r="R369" s="11"/>
      <c r="S369" s="24"/>
      <c r="T369" s="24"/>
      <c r="U369" s="24"/>
      <c r="V369" s="24"/>
    </row>
    <row r="370" spans="1:22" ht="38.25">
      <c r="A370" s="10" t="s">
        <v>242</v>
      </c>
      <c r="B370" s="11" t="str">
        <f>IFERROR(VLOOKUP(A370,Systems!A:B,2,FALSE),"Various")</f>
        <v>Sounding and de-aeration</v>
      </c>
      <c r="C370" s="11" t="s">
        <v>1916</v>
      </c>
      <c r="D370" s="11"/>
      <c r="E370" s="11"/>
      <c r="F370" s="24" t="s">
        <v>1412</v>
      </c>
      <c r="G370" s="38"/>
      <c r="H370" s="11" t="s">
        <v>1462</v>
      </c>
      <c r="I370" s="11"/>
      <c r="J370" s="11"/>
      <c r="K370" s="11"/>
      <c r="L370" s="11"/>
      <c r="M370" s="11"/>
      <c r="N370" s="11"/>
      <c r="O370" s="11"/>
      <c r="P370" s="11"/>
      <c r="Q370" s="11"/>
      <c r="R370" s="11"/>
      <c r="S370" s="24" t="s">
        <v>30</v>
      </c>
      <c r="T370" s="24"/>
      <c r="U370" s="24" t="str">
        <f t="shared" ref="U370:U385" si="9">IF(OR(NOT(H370=""),NOT(M370="")),"","x")</f>
        <v/>
      </c>
      <c r="V370" s="24"/>
    </row>
    <row r="371" spans="1:22" ht="25.5">
      <c r="A371" s="10" t="s">
        <v>242</v>
      </c>
      <c r="B371" s="11" t="str">
        <f>IFERROR(VLOOKUP(A371,Systems!A:B,2,FALSE),"Various")</f>
        <v>Sounding and de-aeration</v>
      </c>
      <c r="C371" s="11" t="s">
        <v>1444</v>
      </c>
      <c r="D371" s="11"/>
      <c r="E371" s="11"/>
      <c r="F371" s="24" t="s">
        <v>1412</v>
      </c>
      <c r="G371" s="38"/>
      <c r="H371" s="11" t="s">
        <v>1463</v>
      </c>
      <c r="I371" s="11"/>
      <c r="J371" s="11"/>
      <c r="K371" s="11"/>
      <c r="L371" s="11"/>
      <c r="M371" s="11"/>
      <c r="N371" s="11"/>
      <c r="O371" s="11"/>
      <c r="P371" s="11"/>
      <c r="Q371" s="11"/>
      <c r="R371" s="11"/>
      <c r="S371" s="24" t="s">
        <v>30</v>
      </c>
      <c r="T371" s="24"/>
      <c r="U371" s="24" t="str">
        <f t="shared" si="9"/>
        <v/>
      </c>
      <c r="V371" s="24"/>
    </row>
    <row r="372" spans="1:22" ht="216.75">
      <c r="A372" s="10" t="s">
        <v>242</v>
      </c>
      <c r="B372" s="11" t="str">
        <f>IFERROR(VLOOKUP(A372,Systems!A:B,2,FALSE),"Various")</f>
        <v>Sounding and de-aeration</v>
      </c>
      <c r="C372" s="11" t="s">
        <v>1925</v>
      </c>
      <c r="D372" s="11"/>
      <c r="E372" s="11"/>
      <c r="F372" s="24" t="s">
        <v>1412</v>
      </c>
      <c r="G372" s="38"/>
      <c r="H372" s="11" t="s">
        <v>1924</v>
      </c>
      <c r="I372" s="11"/>
      <c r="J372" s="11"/>
      <c r="K372" s="11"/>
      <c r="L372" s="11"/>
      <c r="M372" s="11"/>
      <c r="N372" s="11"/>
      <c r="O372" s="11"/>
      <c r="P372" s="11" t="s">
        <v>381</v>
      </c>
      <c r="Q372" s="11"/>
      <c r="R372" s="11"/>
      <c r="S372" s="24" t="s">
        <v>30</v>
      </c>
      <c r="T372" s="24"/>
      <c r="U372" s="24" t="str">
        <f t="shared" si="9"/>
        <v/>
      </c>
      <c r="V372" s="24"/>
    </row>
    <row r="373" spans="1:22" ht="229.5">
      <c r="A373" s="10" t="s">
        <v>242</v>
      </c>
      <c r="B373" s="11" t="str">
        <f>IFERROR(VLOOKUP(A373,Systems!A:B,2,FALSE),"Various")</f>
        <v>Sounding and de-aeration</v>
      </c>
      <c r="C373" s="11" t="s">
        <v>1927</v>
      </c>
      <c r="D373" s="11"/>
      <c r="E373" s="11"/>
      <c r="F373" s="24" t="s">
        <v>1412</v>
      </c>
      <c r="G373" s="38"/>
      <c r="H373" s="11" t="s">
        <v>1926</v>
      </c>
      <c r="I373" s="11"/>
      <c r="J373" s="11"/>
      <c r="K373" s="11"/>
      <c r="L373" s="11"/>
      <c r="M373" s="11"/>
      <c r="N373" s="11"/>
      <c r="O373" s="11"/>
      <c r="P373" s="11" t="s">
        <v>382</v>
      </c>
      <c r="Q373" s="11"/>
      <c r="R373" s="11"/>
      <c r="S373" s="24" t="s">
        <v>30</v>
      </c>
      <c r="T373" s="24"/>
      <c r="U373" s="24" t="str">
        <f t="shared" si="9"/>
        <v/>
      </c>
      <c r="V373" s="24"/>
    </row>
    <row r="374" spans="1:22" ht="127.5">
      <c r="A374" s="10" t="s">
        <v>242</v>
      </c>
      <c r="B374" s="11" t="str">
        <f>IFERROR(VLOOKUP(A374,Systems!A:B,2,FALSE),"Various")</f>
        <v>Sounding and de-aeration</v>
      </c>
      <c r="C374" s="11" t="s">
        <v>1929</v>
      </c>
      <c r="D374" s="11"/>
      <c r="E374" s="11"/>
      <c r="F374" s="24" t="s">
        <v>1412</v>
      </c>
      <c r="G374" s="38"/>
      <c r="H374" s="11" t="s">
        <v>1928</v>
      </c>
      <c r="I374" s="11"/>
      <c r="J374" s="11"/>
      <c r="K374" s="11"/>
      <c r="L374" s="11"/>
      <c r="M374" s="11"/>
      <c r="N374" s="11"/>
      <c r="O374" s="11"/>
      <c r="P374" s="11" t="s">
        <v>383</v>
      </c>
      <c r="Q374" s="11"/>
      <c r="R374" s="11"/>
      <c r="S374" s="24" t="s">
        <v>30</v>
      </c>
      <c r="T374" s="24"/>
      <c r="U374" s="24" t="str">
        <f t="shared" si="9"/>
        <v/>
      </c>
      <c r="V374" s="24"/>
    </row>
    <row r="375" spans="1:22" ht="395.25">
      <c r="A375" s="10" t="s">
        <v>242</v>
      </c>
      <c r="B375" s="11" t="str">
        <f>IFERROR(VLOOKUP(A375,Systems!A:B,2,FALSE),"Various")</f>
        <v>Sounding and de-aeration</v>
      </c>
      <c r="C375" s="11" t="s">
        <v>1219</v>
      </c>
      <c r="D375" s="11"/>
      <c r="E375" s="11"/>
      <c r="F375" s="24" t="s">
        <v>1412</v>
      </c>
      <c r="G375" s="38"/>
      <c r="H375" s="11" t="s">
        <v>1443</v>
      </c>
      <c r="I375" s="11"/>
      <c r="J375" s="11" t="s">
        <v>1997</v>
      </c>
      <c r="K375" s="11"/>
      <c r="L375" s="11"/>
      <c r="M375" s="11"/>
      <c r="N375" s="11"/>
      <c r="O375" s="11"/>
      <c r="P375" s="11"/>
      <c r="Q375" s="11"/>
      <c r="R375" s="11"/>
      <c r="S375" s="24" t="s">
        <v>30</v>
      </c>
      <c r="T375" s="24"/>
      <c r="U375" s="24" t="str">
        <f t="shared" si="9"/>
        <v/>
      </c>
      <c r="V375" s="24"/>
    </row>
    <row r="376" spans="1:22" ht="76.5">
      <c r="A376" s="10" t="s">
        <v>242</v>
      </c>
      <c r="B376" s="11" t="str">
        <f>IFERROR(VLOOKUP(A376,Systems!A:B,2,FALSE),"Various")</f>
        <v>Sounding and de-aeration</v>
      </c>
      <c r="C376" s="11" t="s">
        <v>1998</v>
      </c>
      <c r="D376" s="11"/>
      <c r="E376" s="11"/>
      <c r="F376" s="24" t="s">
        <v>1412</v>
      </c>
      <c r="G376" s="38"/>
      <c r="H376" s="11" t="s">
        <v>1999</v>
      </c>
      <c r="I376" s="11"/>
      <c r="J376" s="11" t="s">
        <v>2000</v>
      </c>
      <c r="K376" s="11"/>
      <c r="L376" s="11"/>
      <c r="M376" s="11"/>
      <c r="N376" s="11"/>
      <c r="O376" s="11"/>
      <c r="P376" s="11"/>
      <c r="Q376" s="11"/>
      <c r="R376" s="11"/>
      <c r="S376" s="24" t="s">
        <v>30</v>
      </c>
      <c r="T376" s="24"/>
      <c r="U376" s="24" t="str">
        <f t="shared" si="9"/>
        <v/>
      </c>
      <c r="V376" s="24"/>
    </row>
    <row r="377" spans="1:22" ht="255">
      <c r="A377" s="10" t="s">
        <v>242</v>
      </c>
      <c r="B377" s="11" t="str">
        <f>IFERROR(VLOOKUP(A377,Systems!A:B,2,FALSE),"Various")</f>
        <v>Sounding and de-aeration</v>
      </c>
      <c r="C377" s="11" t="s">
        <v>2001</v>
      </c>
      <c r="D377" s="11"/>
      <c r="E377" s="11"/>
      <c r="F377" s="24" t="s">
        <v>1412</v>
      </c>
      <c r="G377" s="38"/>
      <c r="H377" s="11" t="s">
        <v>2002</v>
      </c>
      <c r="I377" s="11"/>
      <c r="J377" s="11" t="s">
        <v>2003</v>
      </c>
      <c r="K377" s="11"/>
      <c r="L377" s="11"/>
      <c r="M377" s="11"/>
      <c r="N377" s="11"/>
      <c r="O377" s="11"/>
      <c r="P377" s="11"/>
      <c r="Q377" s="11"/>
      <c r="R377" s="11"/>
      <c r="S377" s="24" t="s">
        <v>30</v>
      </c>
      <c r="T377" s="24"/>
      <c r="U377" s="24" t="str">
        <f t="shared" si="9"/>
        <v/>
      </c>
      <c r="V377" s="24"/>
    </row>
    <row r="378" spans="1:22" ht="76.5">
      <c r="A378" s="10" t="s">
        <v>203</v>
      </c>
      <c r="B378" s="11" t="str">
        <f>IFERROR(VLOOKUP(A378,Systems!A:B,2,FALSE),"Various")</f>
        <v>Various</v>
      </c>
      <c r="C378" s="11" t="s">
        <v>554</v>
      </c>
      <c r="D378" s="11"/>
      <c r="E378" s="11"/>
      <c r="F378" s="24" t="s">
        <v>1412</v>
      </c>
      <c r="G378" s="38"/>
      <c r="H378" s="11" t="s">
        <v>555</v>
      </c>
      <c r="I378" s="11"/>
      <c r="J378" s="11" t="s">
        <v>2004</v>
      </c>
      <c r="K378" s="11"/>
      <c r="L378" s="11"/>
      <c r="M378" s="11"/>
      <c r="N378" s="11"/>
      <c r="O378" s="11"/>
      <c r="P378" s="11" t="s">
        <v>555</v>
      </c>
      <c r="Q378" s="11"/>
      <c r="R378" s="11"/>
      <c r="S378" s="24" t="s">
        <v>30</v>
      </c>
      <c r="T378" s="24"/>
      <c r="U378" s="24" t="str">
        <f t="shared" si="9"/>
        <v/>
      </c>
      <c r="V378" s="24"/>
    </row>
    <row r="379" spans="1:22" ht="395.25">
      <c r="A379" s="10" t="s">
        <v>203</v>
      </c>
      <c r="B379" s="11" t="str">
        <f>IFERROR(VLOOKUP(A379,Systems!A:B,2,FALSE),"Various")</f>
        <v>Various</v>
      </c>
      <c r="C379" s="11" t="s">
        <v>557</v>
      </c>
      <c r="D379" s="11"/>
      <c r="E379" s="11"/>
      <c r="F379" s="24" t="s">
        <v>1412</v>
      </c>
      <c r="G379" s="38"/>
      <c r="H379" s="11" t="s">
        <v>556</v>
      </c>
      <c r="I379" s="11"/>
      <c r="J379" s="11" t="s">
        <v>2005</v>
      </c>
      <c r="K379" s="11"/>
      <c r="L379" s="11"/>
      <c r="M379" s="11"/>
      <c r="N379" s="11"/>
      <c r="O379" s="11"/>
      <c r="P379" s="11" t="s">
        <v>556</v>
      </c>
      <c r="Q379" s="11"/>
      <c r="R379" s="11"/>
      <c r="S379" s="24"/>
      <c r="T379" s="24"/>
      <c r="U379" s="24" t="str">
        <f t="shared" si="9"/>
        <v/>
      </c>
      <c r="V379" s="24"/>
    </row>
    <row r="380" spans="1:22" ht="204">
      <c r="A380" s="10" t="s">
        <v>1106</v>
      </c>
      <c r="B380" s="11" t="str">
        <f>IFERROR(VLOOKUP(A380,Systems!A:B,2,FALSE),"Various")</f>
        <v>Various</v>
      </c>
      <c r="C380" s="11" t="s">
        <v>1105</v>
      </c>
      <c r="D380" s="11"/>
      <c r="E380" s="11"/>
      <c r="F380" s="24" t="s">
        <v>1412</v>
      </c>
      <c r="G380" s="38"/>
      <c r="H380" s="11" t="s">
        <v>1520</v>
      </c>
      <c r="I380" s="11"/>
      <c r="J380" s="11"/>
      <c r="K380" s="11"/>
      <c r="L380" s="11"/>
      <c r="M380" s="11"/>
      <c r="N380" s="11"/>
      <c r="O380" s="11"/>
      <c r="P380" s="11"/>
      <c r="Q380" s="11"/>
      <c r="R380" s="11"/>
      <c r="S380" s="24"/>
      <c r="T380" s="24"/>
      <c r="U380" s="24" t="str">
        <f t="shared" si="9"/>
        <v/>
      </c>
      <c r="V380" s="24"/>
    </row>
    <row r="381" spans="1:22" ht="191.25">
      <c r="A381" s="10" t="s">
        <v>203</v>
      </c>
      <c r="B381" s="11" t="str">
        <f>IFERROR(VLOOKUP(A381,Systems!A:B,2,FALSE),"Various")</f>
        <v>Various</v>
      </c>
      <c r="C381" s="11" t="s">
        <v>1105</v>
      </c>
      <c r="D381" s="11"/>
      <c r="E381" s="11"/>
      <c r="F381" s="24" t="s">
        <v>1412</v>
      </c>
      <c r="G381" s="38"/>
      <c r="H381" s="11" t="s">
        <v>2006</v>
      </c>
      <c r="I381" s="11"/>
      <c r="J381" s="11" t="s">
        <v>2007</v>
      </c>
      <c r="K381" s="11"/>
      <c r="L381" s="11"/>
      <c r="M381" s="11"/>
      <c r="N381" s="11"/>
      <c r="O381" s="11"/>
      <c r="P381" s="11"/>
      <c r="Q381" s="11"/>
      <c r="R381" s="11"/>
      <c r="S381" s="24"/>
      <c r="T381" s="24"/>
      <c r="U381" s="24" t="str">
        <f t="shared" si="9"/>
        <v/>
      </c>
      <c r="V381" s="24"/>
    </row>
    <row r="382" spans="1:22" ht="178.5">
      <c r="A382" s="10" t="s">
        <v>203</v>
      </c>
      <c r="B382" s="11" t="str">
        <f>IFERROR(VLOOKUP(A382,Systems!A:B,2,FALSE),"Various")</f>
        <v>Various</v>
      </c>
      <c r="C382" s="11" t="s">
        <v>2008</v>
      </c>
      <c r="D382" s="11"/>
      <c r="E382" s="11"/>
      <c r="F382" s="24" t="s">
        <v>1412</v>
      </c>
      <c r="G382" s="38"/>
      <c r="H382" s="11" t="s">
        <v>2009</v>
      </c>
      <c r="I382" s="11"/>
      <c r="J382" s="11" t="s">
        <v>2010</v>
      </c>
      <c r="K382" s="11"/>
      <c r="L382" s="11"/>
      <c r="M382" s="11"/>
      <c r="N382" s="11"/>
      <c r="O382" s="11"/>
      <c r="P382" s="11"/>
      <c r="Q382" s="11"/>
      <c r="R382" s="11"/>
      <c r="S382" s="24"/>
      <c r="T382" s="24"/>
      <c r="U382" s="24" t="str">
        <f t="shared" si="9"/>
        <v/>
      </c>
      <c r="V382" s="24"/>
    </row>
    <row r="383" spans="1:22" ht="204">
      <c r="A383" s="10" t="s">
        <v>1106</v>
      </c>
      <c r="B383" s="11" t="str">
        <f>IFERROR(VLOOKUP(A383,Systems!A:B,2,FALSE),"Various")</f>
        <v>Various</v>
      </c>
      <c r="C383" s="11" t="s">
        <v>1107</v>
      </c>
      <c r="D383" s="11"/>
      <c r="E383" s="11"/>
      <c r="F383" s="24" t="s">
        <v>1412</v>
      </c>
      <c r="G383" s="38"/>
      <c r="H383" s="11" t="s">
        <v>1521</v>
      </c>
      <c r="I383" s="11"/>
      <c r="J383" s="11"/>
      <c r="K383" s="11"/>
      <c r="L383" s="11"/>
      <c r="M383" s="11"/>
      <c r="N383" s="11"/>
      <c r="O383" s="11"/>
      <c r="P383" s="11"/>
      <c r="Q383" s="11"/>
      <c r="R383" s="11"/>
      <c r="S383" s="24"/>
      <c r="T383" s="24"/>
      <c r="U383" s="24" t="str">
        <f t="shared" si="9"/>
        <v/>
      </c>
      <c r="V383" s="24"/>
    </row>
    <row r="384" spans="1:22" ht="102">
      <c r="A384" s="10" t="s">
        <v>242</v>
      </c>
      <c r="B384" s="11" t="str">
        <f>IFERROR(VLOOKUP(A384,Systems!A:B,2,FALSE),"Various")</f>
        <v>Sounding and de-aeration</v>
      </c>
      <c r="C384" s="11" t="s">
        <v>2027</v>
      </c>
      <c r="D384" s="11"/>
      <c r="E384" s="11"/>
      <c r="F384" s="24" t="s">
        <v>1412</v>
      </c>
      <c r="G384" s="38"/>
      <c r="H384" s="11" t="s">
        <v>2047</v>
      </c>
      <c r="I384" s="11"/>
      <c r="J384" s="11"/>
      <c r="K384" s="11"/>
      <c r="L384" s="11"/>
      <c r="M384" s="11"/>
      <c r="N384" s="11"/>
      <c r="O384" s="11"/>
      <c r="P384" s="11" t="s">
        <v>2020</v>
      </c>
      <c r="Q384" s="11"/>
      <c r="R384" s="11"/>
      <c r="S384" s="24"/>
      <c r="T384" s="24"/>
      <c r="U384" s="24" t="str">
        <f t="shared" si="9"/>
        <v/>
      </c>
      <c r="V384" s="24"/>
    </row>
    <row r="385" spans="1:22" ht="216.75">
      <c r="A385" s="10" t="s">
        <v>817</v>
      </c>
      <c r="B385" s="11" t="str">
        <f>IFERROR(VLOOKUP(A385,Systems!A:B,2,FALSE),"Various")</f>
        <v>Exhaust gas cleaning system</v>
      </c>
      <c r="C385" s="11" t="s">
        <v>1756</v>
      </c>
      <c r="D385" s="11"/>
      <c r="E385" s="11"/>
      <c r="F385" s="24" t="s">
        <v>1412</v>
      </c>
      <c r="G385" s="38"/>
      <c r="H385" s="11" t="s">
        <v>2057</v>
      </c>
      <c r="I385" s="11"/>
      <c r="J385" s="11"/>
      <c r="K385" s="11"/>
      <c r="L385" s="11"/>
      <c r="M385" s="11"/>
      <c r="N385" s="11"/>
      <c r="O385" s="11"/>
      <c r="P385" s="11"/>
      <c r="Q385" s="11"/>
      <c r="R385" s="11"/>
      <c r="S385" s="24"/>
      <c r="T385" s="24"/>
      <c r="U385" s="24" t="str">
        <f t="shared" si="9"/>
        <v/>
      </c>
      <c r="V385" s="24"/>
    </row>
    <row r="386" spans="1:22" ht="89.25">
      <c r="A386" s="10" t="s">
        <v>833</v>
      </c>
      <c r="B386" s="11" t="str">
        <f>IFERROR(VLOOKUP(A386,Systems!A:B,2,FALSE),"Various")</f>
        <v>Fuel supply system</v>
      </c>
      <c r="C386" s="11" t="s">
        <v>2291</v>
      </c>
      <c r="D386" s="11"/>
      <c r="E386" s="11"/>
      <c r="F386" s="24" t="s">
        <v>1412</v>
      </c>
      <c r="G386" s="38"/>
      <c r="H386" s="11"/>
      <c r="I386" s="11" t="s">
        <v>2287</v>
      </c>
      <c r="J386" s="11"/>
      <c r="K386" s="11"/>
      <c r="L386" s="11"/>
      <c r="M386" s="11"/>
      <c r="N386" s="11"/>
      <c r="O386" s="11"/>
      <c r="P386" s="11"/>
      <c r="Q386" s="11"/>
      <c r="R386" s="11"/>
      <c r="S386" s="24"/>
      <c r="T386" s="24"/>
      <c r="U386" s="24"/>
      <c r="V386" s="24"/>
    </row>
    <row r="387" spans="1:22" ht="38.25">
      <c r="A387" s="10" t="s">
        <v>833</v>
      </c>
      <c r="B387" s="11" t="str">
        <f>IFERROR(VLOOKUP(A387,Systems!A:B,2,FALSE),"Various")</f>
        <v>Fuel supply system</v>
      </c>
      <c r="C387" s="11" t="s">
        <v>2291</v>
      </c>
      <c r="D387" s="11"/>
      <c r="E387" s="11"/>
      <c r="F387" s="24" t="s">
        <v>1412</v>
      </c>
      <c r="G387" s="38"/>
      <c r="H387" s="11"/>
      <c r="I387" s="11" t="s">
        <v>2288</v>
      </c>
      <c r="J387" s="11"/>
      <c r="K387" s="11"/>
      <c r="L387" s="11"/>
      <c r="M387" s="11"/>
      <c r="N387" s="11"/>
      <c r="O387" s="11"/>
      <c r="P387" s="11"/>
      <c r="Q387" s="11"/>
      <c r="R387" s="11"/>
      <c r="S387" s="24"/>
      <c r="T387" s="24"/>
      <c r="U387" s="24"/>
      <c r="V387" s="24"/>
    </row>
    <row r="388" spans="1:22" ht="38.25">
      <c r="A388" s="10" t="s">
        <v>833</v>
      </c>
      <c r="B388" s="11" t="str">
        <f>IFERROR(VLOOKUP(A388,Systems!A:B,2,FALSE),"Various")</f>
        <v>Fuel supply system</v>
      </c>
      <c r="C388" s="11" t="s">
        <v>2292</v>
      </c>
      <c r="D388" s="11"/>
      <c r="E388" s="11"/>
      <c r="F388" s="24" t="s">
        <v>1412</v>
      </c>
      <c r="G388" s="38"/>
      <c r="H388" s="11"/>
      <c r="I388" s="11" t="s">
        <v>2289</v>
      </c>
      <c r="J388" s="11"/>
      <c r="K388" s="11"/>
      <c r="L388" s="11"/>
      <c r="M388" s="11"/>
      <c r="N388" s="11"/>
      <c r="O388" s="11"/>
      <c r="P388" s="11"/>
      <c r="Q388" s="11"/>
      <c r="R388" s="11"/>
      <c r="S388" s="24"/>
      <c r="T388" s="24"/>
      <c r="U388" s="24"/>
      <c r="V388" s="24"/>
    </row>
    <row r="389" spans="1:22" ht="51">
      <c r="A389" s="10" t="s">
        <v>833</v>
      </c>
      <c r="B389" s="11" t="str">
        <f>IFERROR(VLOOKUP(A389,Systems!A:B,2,FALSE),"Various")</f>
        <v>Fuel supply system</v>
      </c>
      <c r="C389" s="11" t="s">
        <v>2293</v>
      </c>
      <c r="D389" s="11"/>
      <c r="E389" s="11"/>
      <c r="F389" s="24" t="s">
        <v>1412</v>
      </c>
      <c r="G389" s="38"/>
      <c r="H389" s="11"/>
      <c r="I389" s="11" t="s">
        <v>2290</v>
      </c>
      <c r="J389" s="11"/>
      <c r="K389" s="11"/>
      <c r="L389" s="11"/>
      <c r="M389" s="11"/>
      <c r="N389" s="11"/>
      <c r="O389" s="11"/>
      <c r="P389" s="11"/>
      <c r="Q389" s="11"/>
      <c r="R389" s="11"/>
      <c r="S389" s="24"/>
      <c r="T389" s="24"/>
      <c r="U389" s="24"/>
      <c r="V389" s="24"/>
    </row>
    <row r="390" spans="1:22" ht="76.5">
      <c r="A390" s="10" t="s">
        <v>833</v>
      </c>
      <c r="B390" s="11" t="str">
        <f>IFERROR(VLOOKUP(A390,Systems!A:B,2,FALSE),"Various")</f>
        <v>Fuel supply system</v>
      </c>
      <c r="C390" s="11" t="s">
        <v>2294</v>
      </c>
      <c r="D390" s="11"/>
      <c r="E390" s="11"/>
      <c r="F390" s="24" t="s">
        <v>1412</v>
      </c>
      <c r="G390" s="38"/>
      <c r="H390" s="11"/>
      <c r="I390" s="11" t="s">
        <v>2171</v>
      </c>
      <c r="J390" s="11"/>
      <c r="K390" s="11"/>
      <c r="L390" s="11"/>
      <c r="M390" s="11"/>
      <c r="N390" s="11"/>
      <c r="O390" s="11"/>
      <c r="P390" s="11"/>
      <c r="Q390" s="11"/>
      <c r="R390" s="11"/>
      <c r="S390" s="24"/>
      <c r="T390" s="24"/>
      <c r="U390" s="24"/>
      <c r="V390" s="24"/>
    </row>
    <row r="391" spans="1:22" ht="25.5">
      <c r="A391" s="10" t="s">
        <v>833</v>
      </c>
      <c r="B391" s="11" t="str">
        <f>IFERROR(VLOOKUP(A391,Systems!A:B,2,FALSE),"Various")</f>
        <v>Fuel supply system</v>
      </c>
      <c r="C391" s="11" t="s">
        <v>2295</v>
      </c>
      <c r="D391" s="11"/>
      <c r="E391" s="11"/>
      <c r="F391" s="24" t="s">
        <v>1412</v>
      </c>
      <c r="G391" s="38"/>
      <c r="H391" s="11"/>
      <c r="I391" s="11" t="s">
        <v>2172</v>
      </c>
      <c r="J391" s="11"/>
      <c r="K391" s="11"/>
      <c r="L391" s="11"/>
      <c r="M391" s="11"/>
      <c r="N391" s="11"/>
      <c r="O391" s="11"/>
      <c r="P391" s="11"/>
      <c r="Q391" s="11"/>
      <c r="R391" s="11"/>
      <c r="S391" s="24"/>
      <c r="T391" s="24"/>
      <c r="U391" s="24"/>
      <c r="V391" s="24"/>
    </row>
    <row r="392" spans="1:22" ht="63.75">
      <c r="A392" s="10" t="s">
        <v>833</v>
      </c>
      <c r="B392" s="11" t="str">
        <f>IFERROR(VLOOKUP(A392,Systems!A:B,2,FALSE),"Various")</f>
        <v>Fuel supply system</v>
      </c>
      <c r="C392" s="11" t="s">
        <v>2296</v>
      </c>
      <c r="D392" s="11"/>
      <c r="E392" s="11"/>
      <c r="F392" s="24" t="s">
        <v>1412</v>
      </c>
      <c r="G392" s="38"/>
      <c r="H392" s="11"/>
      <c r="I392" s="11" t="s">
        <v>2173</v>
      </c>
      <c r="J392" s="11"/>
      <c r="K392" s="11"/>
      <c r="L392" s="11"/>
      <c r="M392" s="11"/>
      <c r="N392" s="11"/>
      <c r="O392" s="11"/>
      <c r="P392" s="11"/>
      <c r="Q392" s="11"/>
      <c r="R392" s="11"/>
      <c r="S392" s="24"/>
      <c r="T392" s="24"/>
      <c r="U392" s="24"/>
      <c r="V392" s="24"/>
    </row>
    <row r="393" spans="1:22" ht="76.5">
      <c r="A393" s="10" t="s">
        <v>833</v>
      </c>
      <c r="B393" s="11" t="str">
        <f>IFERROR(VLOOKUP(A393,Systems!A:B,2,FALSE),"Various")</f>
        <v>Fuel supply system</v>
      </c>
      <c r="C393" s="11" t="s">
        <v>2297</v>
      </c>
      <c r="D393" s="11"/>
      <c r="E393" s="11"/>
      <c r="F393" s="24" t="s">
        <v>1412</v>
      </c>
      <c r="G393" s="38"/>
      <c r="H393" s="11"/>
      <c r="I393" s="11" t="s">
        <v>2286</v>
      </c>
      <c r="J393" s="11"/>
      <c r="K393" s="11"/>
      <c r="L393" s="11"/>
      <c r="M393" s="11"/>
      <c r="N393" s="11"/>
      <c r="O393" s="11"/>
      <c r="P393" s="11"/>
      <c r="Q393" s="11"/>
      <c r="R393" s="11"/>
      <c r="S393" s="24"/>
      <c r="T393" s="24"/>
      <c r="U393" s="24"/>
      <c r="V393" s="24"/>
    </row>
    <row r="394" spans="1:22" ht="127.5">
      <c r="A394" s="10" t="s">
        <v>2140</v>
      </c>
      <c r="B394" s="11" t="str">
        <f>IFERROR(VLOOKUP(A394,Systems!A:B,2,FALSE),"Various")</f>
        <v>Cargo inerting systems</v>
      </c>
      <c r="C394" s="11" t="s">
        <v>49</v>
      </c>
      <c r="D394" s="11"/>
      <c r="E394" s="11"/>
      <c r="F394" s="24" t="s">
        <v>1412</v>
      </c>
      <c r="G394" s="38"/>
      <c r="H394" s="11" t="s">
        <v>2234</v>
      </c>
      <c r="I394" s="11" t="s">
        <v>2317</v>
      </c>
      <c r="J394" s="11"/>
      <c r="K394" s="11"/>
      <c r="L394" s="11"/>
      <c r="M394" s="11"/>
      <c r="N394" s="11"/>
      <c r="O394" s="11"/>
      <c r="P394" s="11"/>
      <c r="Q394" s="11"/>
      <c r="R394" s="11"/>
      <c r="S394" s="24"/>
      <c r="T394" s="24"/>
      <c r="U394" s="24"/>
      <c r="V394" s="24"/>
    </row>
    <row r="395" spans="1:22" ht="127.5">
      <c r="A395" s="10" t="s">
        <v>2140</v>
      </c>
      <c r="B395" s="11" t="str">
        <f>IFERROR(VLOOKUP(A395,Systems!A:B,2,FALSE),"Various")</f>
        <v>Cargo inerting systems</v>
      </c>
      <c r="C395" s="11" t="s">
        <v>49</v>
      </c>
      <c r="D395" s="11"/>
      <c r="E395" s="11"/>
      <c r="F395" s="24" t="s">
        <v>1412</v>
      </c>
      <c r="G395" s="38"/>
      <c r="H395" s="11"/>
      <c r="I395" s="11" t="s">
        <v>2174</v>
      </c>
      <c r="J395" s="11"/>
      <c r="K395" s="11"/>
      <c r="L395" s="11"/>
      <c r="M395" s="11"/>
      <c r="N395" s="11"/>
      <c r="O395" s="11"/>
      <c r="P395" s="11"/>
      <c r="Q395" s="11"/>
      <c r="R395" s="11"/>
      <c r="S395" s="24"/>
      <c r="T395" s="24"/>
      <c r="U395" s="24"/>
      <c r="V395" s="24"/>
    </row>
    <row r="396" spans="1:22" ht="51">
      <c r="A396" s="10" t="s">
        <v>2140</v>
      </c>
      <c r="B396" s="11" t="str">
        <f>IFERROR(VLOOKUP(A396,Systems!A:B,2,FALSE),"Various")</f>
        <v>Cargo inerting systems</v>
      </c>
      <c r="C396" s="11" t="s">
        <v>2177</v>
      </c>
      <c r="D396" s="11"/>
      <c r="E396" s="11"/>
      <c r="F396" s="24" t="s">
        <v>1412</v>
      </c>
      <c r="G396" s="38"/>
      <c r="H396" s="11"/>
      <c r="I396" s="11" t="s">
        <v>2175</v>
      </c>
      <c r="J396" s="11"/>
      <c r="K396" s="11"/>
      <c r="L396" s="11"/>
      <c r="M396" s="11"/>
      <c r="N396" s="11"/>
      <c r="O396" s="11"/>
      <c r="P396" s="11"/>
      <c r="Q396" s="11"/>
      <c r="R396" s="11"/>
      <c r="S396" s="24"/>
      <c r="T396" s="24"/>
      <c r="U396" s="24"/>
      <c r="V396" s="24"/>
    </row>
    <row r="397" spans="1:22" ht="153">
      <c r="A397" s="10" t="s">
        <v>2140</v>
      </c>
      <c r="B397" s="11" t="str">
        <f>IFERROR(VLOOKUP(A397,Systems!A:B,2,FALSE),"Various")</f>
        <v>Cargo inerting systems</v>
      </c>
      <c r="C397" s="11" t="s">
        <v>2178</v>
      </c>
      <c r="D397" s="11"/>
      <c r="E397" s="11"/>
      <c r="F397" s="24" t="s">
        <v>1412</v>
      </c>
      <c r="G397" s="38"/>
      <c r="H397" s="11"/>
      <c r="I397" s="11" t="s">
        <v>2176</v>
      </c>
      <c r="J397" s="11"/>
      <c r="K397" s="11"/>
      <c r="L397" s="11"/>
      <c r="M397" s="11"/>
      <c r="N397" s="11"/>
      <c r="O397" s="11"/>
      <c r="P397" s="11"/>
      <c r="Q397" s="11"/>
      <c r="R397" s="11"/>
      <c r="S397" s="24"/>
      <c r="T397" s="24"/>
      <c r="U397" s="24"/>
      <c r="V397" s="24"/>
    </row>
    <row r="398" spans="1:22" ht="165.75">
      <c r="A398" s="10" t="s">
        <v>2140</v>
      </c>
      <c r="B398" s="11" t="str">
        <f>IFERROR(VLOOKUP(A398,Systems!A:B,2,FALSE),"Various")</f>
        <v>Cargo inerting systems</v>
      </c>
      <c r="C398" s="11" t="s">
        <v>2179</v>
      </c>
      <c r="D398" s="11"/>
      <c r="E398" s="11"/>
      <c r="F398" s="24" t="s">
        <v>1412</v>
      </c>
      <c r="G398" s="38"/>
      <c r="H398" s="11"/>
      <c r="I398" s="11" t="s">
        <v>2315</v>
      </c>
      <c r="J398" s="11"/>
      <c r="K398" s="11"/>
      <c r="L398" s="11"/>
      <c r="M398" s="11"/>
      <c r="N398" s="11"/>
      <c r="O398" s="11"/>
      <c r="P398" s="11"/>
      <c r="Q398" s="11"/>
      <c r="R398" s="11"/>
      <c r="S398" s="24"/>
      <c r="T398" s="24"/>
      <c r="U398" s="24"/>
      <c r="V398" s="24"/>
    </row>
    <row r="399" spans="1:22" ht="216.75">
      <c r="A399" s="10" t="s">
        <v>2140</v>
      </c>
      <c r="B399" s="11" t="str">
        <f>IFERROR(VLOOKUP(A399,Systems!A:B,2,FALSE),"Various")</f>
        <v>Cargo inerting systems</v>
      </c>
      <c r="C399" s="11" t="s">
        <v>2180</v>
      </c>
      <c r="D399" s="11"/>
      <c r="E399" s="11"/>
      <c r="F399" s="24" t="s">
        <v>1412</v>
      </c>
      <c r="G399" s="38"/>
      <c r="H399" s="11" t="s">
        <v>2153</v>
      </c>
      <c r="I399" s="11" t="s">
        <v>2181</v>
      </c>
      <c r="J399" s="11"/>
      <c r="K399" s="11"/>
      <c r="L399" s="11"/>
      <c r="M399" s="11"/>
      <c r="N399" s="11"/>
      <c r="O399" s="11"/>
      <c r="P399" s="11"/>
      <c r="Q399" s="11"/>
      <c r="R399" s="11"/>
      <c r="S399" s="24"/>
      <c r="T399" s="24"/>
      <c r="U399" s="24"/>
      <c r="V399" s="24"/>
    </row>
    <row r="400" spans="1:22" ht="63.75">
      <c r="A400" s="10" t="s">
        <v>2140</v>
      </c>
      <c r="B400" s="11" t="str">
        <f>IFERROR(VLOOKUP(A400,Systems!A:B,2,FALSE),"Various")</f>
        <v>Cargo inerting systems</v>
      </c>
      <c r="C400" s="11" t="s">
        <v>2182</v>
      </c>
      <c r="D400" s="11"/>
      <c r="E400" s="11"/>
      <c r="F400" s="24" t="s">
        <v>1412</v>
      </c>
      <c r="G400" s="38"/>
      <c r="H400" s="11"/>
      <c r="I400" s="11" t="s">
        <v>2285</v>
      </c>
      <c r="J400" s="11"/>
      <c r="K400" s="11"/>
      <c r="L400" s="11"/>
      <c r="M400" s="11"/>
      <c r="N400" s="11"/>
      <c r="O400" s="11"/>
      <c r="P400" s="11"/>
      <c r="Q400" s="11"/>
      <c r="R400" s="11"/>
      <c r="S400" s="24"/>
      <c r="T400" s="24"/>
      <c r="U400" s="24"/>
      <c r="V400" s="24"/>
    </row>
    <row r="401" spans="1:22" ht="318.75">
      <c r="A401" s="10" t="s">
        <v>2140</v>
      </c>
      <c r="B401" s="11" t="str">
        <f>IFERROR(VLOOKUP(A401,Systems!A:B,2,FALSE),"Various")</f>
        <v>Cargo inerting systems</v>
      </c>
      <c r="C401" s="11" t="s">
        <v>49</v>
      </c>
      <c r="D401" s="11"/>
      <c r="E401" s="11"/>
      <c r="F401" s="24" t="s">
        <v>1412</v>
      </c>
      <c r="G401" s="38"/>
      <c r="H401" s="11" t="s">
        <v>2233</v>
      </c>
      <c r="I401" s="11" t="s">
        <v>2183</v>
      </c>
      <c r="J401" s="11"/>
      <c r="K401" s="11"/>
      <c r="L401" s="11"/>
      <c r="M401" s="11"/>
      <c r="N401" s="11"/>
      <c r="O401" s="11"/>
      <c r="P401" s="11"/>
      <c r="Q401" s="11"/>
      <c r="R401" s="11"/>
      <c r="S401" s="24"/>
      <c r="T401" s="24"/>
      <c r="U401" s="24"/>
      <c r="V401" s="24"/>
    </row>
    <row r="402" spans="1:22" ht="89.25">
      <c r="A402" s="10" t="s">
        <v>2140</v>
      </c>
      <c r="B402" s="11" t="str">
        <f>IFERROR(VLOOKUP(A402,Systems!A:B,2,FALSE),"Various")</f>
        <v>Cargo inerting systems</v>
      </c>
      <c r="C402" s="11" t="s">
        <v>49</v>
      </c>
      <c r="D402" s="11"/>
      <c r="E402" s="11"/>
      <c r="F402" s="24" t="s">
        <v>1412</v>
      </c>
      <c r="G402" s="38"/>
      <c r="H402" s="11" t="s">
        <v>2235</v>
      </c>
      <c r="I402" s="11" t="s">
        <v>2184</v>
      </c>
      <c r="J402" s="11"/>
      <c r="K402" s="11"/>
      <c r="L402" s="11"/>
      <c r="M402" s="11"/>
      <c r="N402" s="11"/>
      <c r="O402" s="11"/>
      <c r="P402" s="11"/>
      <c r="Q402" s="11"/>
      <c r="R402" s="11"/>
      <c r="S402" s="24"/>
      <c r="T402" s="24"/>
      <c r="U402" s="24"/>
      <c r="V402" s="24"/>
    </row>
    <row r="403" spans="1:22" ht="153">
      <c r="A403" s="10" t="s">
        <v>2140</v>
      </c>
      <c r="B403" s="11" t="str">
        <f>IFERROR(VLOOKUP(A403,Systems!A:B,2,FALSE),"Various")</f>
        <v>Cargo inerting systems</v>
      </c>
      <c r="C403" s="11" t="s">
        <v>2182</v>
      </c>
      <c r="D403" s="11"/>
      <c r="E403" s="11"/>
      <c r="F403" s="24" t="s">
        <v>1412</v>
      </c>
      <c r="G403" s="38"/>
      <c r="H403" s="11" t="s">
        <v>2154</v>
      </c>
      <c r="I403" s="11" t="s">
        <v>2185</v>
      </c>
      <c r="J403" s="11"/>
      <c r="K403" s="11"/>
      <c r="L403" s="11"/>
      <c r="M403" s="11"/>
      <c r="N403" s="11"/>
      <c r="O403" s="11"/>
      <c r="P403" s="11"/>
      <c r="Q403" s="11"/>
      <c r="R403" s="11"/>
      <c r="S403" s="24"/>
      <c r="T403" s="24"/>
      <c r="U403" s="24"/>
      <c r="V403" s="24"/>
    </row>
    <row r="404" spans="1:22" ht="102">
      <c r="A404" s="10" t="s">
        <v>2140</v>
      </c>
      <c r="B404" s="11" t="str">
        <f>IFERROR(VLOOKUP(A404,Systems!A:B,2,FALSE),"Various")</f>
        <v>Cargo inerting systems</v>
      </c>
      <c r="C404" s="11" t="s">
        <v>2155</v>
      </c>
      <c r="D404" s="11"/>
      <c r="E404" s="11"/>
      <c r="F404" s="24" t="s">
        <v>1412</v>
      </c>
      <c r="G404" s="38"/>
      <c r="H404" s="11"/>
      <c r="I404" s="11" t="s">
        <v>2283</v>
      </c>
      <c r="J404" s="11"/>
      <c r="K404" s="11"/>
      <c r="L404" s="11"/>
      <c r="M404" s="11"/>
      <c r="N404" s="11"/>
      <c r="O404" s="11"/>
      <c r="P404" s="11"/>
      <c r="Q404" s="11"/>
      <c r="R404" s="11"/>
      <c r="S404" s="24"/>
      <c r="T404" s="24"/>
      <c r="U404" s="24"/>
      <c r="V404" s="24"/>
    </row>
    <row r="405" spans="1:22" ht="38.25">
      <c r="A405" s="10" t="s">
        <v>2140</v>
      </c>
      <c r="B405" s="11" t="str">
        <f>IFERROR(VLOOKUP(A405,Systems!A:B,2,FALSE),"Various")</f>
        <v>Cargo inerting systems</v>
      </c>
      <c r="C405" s="11" t="s">
        <v>2155</v>
      </c>
      <c r="D405" s="11"/>
      <c r="E405" s="11"/>
      <c r="F405" s="24" t="s">
        <v>1412</v>
      </c>
      <c r="G405" s="38"/>
      <c r="H405" s="11" t="s">
        <v>2278</v>
      </c>
      <c r="I405" s="11" t="s">
        <v>2279</v>
      </c>
      <c r="J405" s="11"/>
      <c r="K405" s="11"/>
      <c r="L405" s="11"/>
      <c r="M405" s="11"/>
      <c r="N405" s="11"/>
      <c r="O405" s="11"/>
      <c r="P405" s="11"/>
      <c r="Q405" s="11"/>
      <c r="R405" s="11"/>
      <c r="S405" s="24"/>
      <c r="T405" s="24"/>
      <c r="U405" s="24"/>
      <c r="V405" s="24"/>
    </row>
    <row r="406" spans="1:22" ht="216.75">
      <c r="A406" s="10" t="s">
        <v>2140</v>
      </c>
      <c r="B406" s="11" t="str">
        <f>IFERROR(VLOOKUP(A406,Systems!A:B,2,FALSE),"Various")</f>
        <v>Cargo inerting systems</v>
      </c>
      <c r="C406" s="11" t="s">
        <v>2155</v>
      </c>
      <c r="D406" s="11"/>
      <c r="E406" s="11"/>
      <c r="F406" s="24" t="s">
        <v>1412</v>
      </c>
      <c r="G406" s="38"/>
      <c r="H406" s="11" t="s">
        <v>2280</v>
      </c>
      <c r="I406" s="11" t="s">
        <v>2281</v>
      </c>
      <c r="J406" s="11"/>
      <c r="K406" s="11"/>
      <c r="L406" s="11"/>
      <c r="M406" s="11"/>
      <c r="N406" s="11"/>
      <c r="O406" s="11"/>
      <c r="P406" s="11"/>
      <c r="Q406" s="11"/>
      <c r="R406" s="11"/>
      <c r="S406" s="24"/>
      <c r="T406" s="24"/>
      <c r="U406" s="24"/>
      <c r="V406" s="24"/>
    </row>
    <row r="407" spans="1:22" ht="51">
      <c r="A407" s="10" t="s">
        <v>2140</v>
      </c>
      <c r="B407" s="11" t="str">
        <f>IFERROR(VLOOKUP(A407,Systems!A:B,2,FALSE),"Various")</f>
        <v>Cargo inerting systems</v>
      </c>
      <c r="C407" s="11" t="s">
        <v>2155</v>
      </c>
      <c r="D407" s="11"/>
      <c r="E407" s="11"/>
      <c r="F407" s="24" t="s">
        <v>1412</v>
      </c>
      <c r="G407" s="38"/>
      <c r="H407" s="11" t="s">
        <v>2270</v>
      </c>
      <c r="I407" s="11" t="s">
        <v>2282</v>
      </c>
      <c r="J407" s="11"/>
      <c r="K407" s="11"/>
      <c r="L407" s="11"/>
      <c r="M407" s="11"/>
      <c r="N407" s="11"/>
      <c r="O407" s="11"/>
      <c r="P407" s="11"/>
      <c r="Q407" s="11"/>
      <c r="R407" s="11"/>
      <c r="S407" s="24"/>
      <c r="T407" s="24"/>
      <c r="U407" s="24"/>
      <c r="V407" s="24"/>
    </row>
    <row r="408" spans="1:22" ht="38.25">
      <c r="A408" s="10" t="s">
        <v>2140</v>
      </c>
      <c r="B408" s="11" t="str">
        <f>IFERROR(VLOOKUP(A408,Systems!A:B,2,FALSE),"Various")</f>
        <v>Cargo inerting systems</v>
      </c>
      <c r="C408" s="11" t="s">
        <v>2155</v>
      </c>
      <c r="D408" s="11"/>
      <c r="E408" s="11"/>
      <c r="F408" s="24" t="s">
        <v>1412</v>
      </c>
      <c r="G408" s="38"/>
      <c r="H408" s="11" t="s">
        <v>2272</v>
      </c>
      <c r="I408" s="11" t="s">
        <v>2284</v>
      </c>
      <c r="J408" s="11"/>
      <c r="K408" s="11"/>
      <c r="L408" s="11"/>
      <c r="M408" s="11"/>
      <c r="N408" s="11"/>
      <c r="O408" s="11"/>
      <c r="P408" s="11"/>
      <c r="Q408" s="11"/>
      <c r="R408" s="11"/>
      <c r="S408" s="24"/>
      <c r="T408" s="24"/>
      <c r="U408" s="24"/>
      <c r="V408" s="24"/>
    </row>
    <row r="409" spans="1:22" ht="38.25">
      <c r="A409" s="10" t="s">
        <v>2140</v>
      </c>
      <c r="B409" s="11" t="str">
        <f>IFERROR(VLOOKUP(A409,Systems!A:B,2,FALSE),"Various")</f>
        <v>Cargo inerting systems</v>
      </c>
      <c r="C409" s="11" t="s">
        <v>2156</v>
      </c>
      <c r="D409" s="11"/>
      <c r="E409" s="11"/>
      <c r="F409" s="24" t="s">
        <v>1412</v>
      </c>
      <c r="G409" s="38"/>
      <c r="H409" s="11" t="s">
        <v>2196</v>
      </c>
      <c r="I409" s="11" t="s">
        <v>2205</v>
      </c>
      <c r="J409" s="11"/>
      <c r="K409" s="11"/>
      <c r="L409" s="11"/>
      <c r="M409" s="11"/>
      <c r="N409" s="11"/>
      <c r="O409" s="11"/>
      <c r="P409" s="11"/>
      <c r="Q409" s="11"/>
      <c r="R409" s="11"/>
      <c r="S409" s="24"/>
      <c r="T409" s="24"/>
      <c r="U409" s="24"/>
      <c r="V409" s="24"/>
    </row>
    <row r="410" spans="1:22" ht="127.5">
      <c r="A410" s="10" t="s">
        <v>2140</v>
      </c>
      <c r="B410" s="11" t="str">
        <f>IFERROR(VLOOKUP(A410,Systems!A:B,2,FALSE),"Various")</f>
        <v>Cargo inerting systems</v>
      </c>
      <c r="C410" s="11" t="s">
        <v>2156</v>
      </c>
      <c r="D410" s="11"/>
      <c r="E410" s="11"/>
      <c r="F410" s="24" t="s">
        <v>1412</v>
      </c>
      <c r="G410" s="38"/>
      <c r="H410" s="11" t="s">
        <v>2197</v>
      </c>
      <c r="I410" s="11" t="s">
        <v>2206</v>
      </c>
      <c r="J410" s="11"/>
      <c r="K410" s="11"/>
      <c r="L410" s="11"/>
      <c r="M410" s="11"/>
      <c r="N410" s="11"/>
      <c r="O410" s="11"/>
      <c r="P410" s="11"/>
      <c r="Q410" s="11"/>
      <c r="R410" s="11"/>
      <c r="S410" s="24"/>
      <c r="T410" s="24"/>
      <c r="U410" s="24"/>
      <c r="V410" s="24"/>
    </row>
    <row r="411" spans="1:22" ht="114.75">
      <c r="A411" s="10" t="s">
        <v>2140</v>
      </c>
      <c r="B411" s="11" t="str">
        <f>IFERROR(VLOOKUP(A411,Systems!A:B,2,FALSE),"Various")</f>
        <v>Cargo inerting systems</v>
      </c>
      <c r="C411" s="11" t="s">
        <v>2156</v>
      </c>
      <c r="D411" s="11"/>
      <c r="E411" s="11"/>
      <c r="F411" s="24" t="s">
        <v>1412</v>
      </c>
      <c r="G411" s="38"/>
      <c r="H411" s="11" t="s">
        <v>2198</v>
      </c>
      <c r="I411" s="11" t="s">
        <v>2207</v>
      </c>
      <c r="J411" s="11"/>
      <c r="K411" s="11"/>
      <c r="L411" s="11"/>
      <c r="M411" s="11"/>
      <c r="N411" s="11"/>
      <c r="O411" s="11"/>
      <c r="P411" s="11"/>
      <c r="Q411" s="11"/>
      <c r="R411" s="11"/>
      <c r="S411" s="24"/>
      <c r="T411" s="24"/>
      <c r="U411" s="24"/>
      <c r="V411" s="24"/>
    </row>
    <row r="412" spans="1:22" ht="63.75">
      <c r="A412" s="10" t="s">
        <v>2140</v>
      </c>
      <c r="B412" s="11" t="str">
        <f>IFERROR(VLOOKUP(A412,Systems!A:B,2,FALSE),"Various")</f>
        <v>Cargo inerting systems</v>
      </c>
      <c r="C412" s="11" t="s">
        <v>2156</v>
      </c>
      <c r="D412" s="11"/>
      <c r="E412" s="11"/>
      <c r="F412" s="24" t="s">
        <v>1412</v>
      </c>
      <c r="G412" s="38"/>
      <c r="H412" s="11" t="s">
        <v>2199</v>
      </c>
      <c r="I412" s="11" t="s">
        <v>2208</v>
      </c>
      <c r="J412" s="11"/>
      <c r="K412" s="11"/>
      <c r="L412" s="11"/>
      <c r="M412" s="11"/>
      <c r="N412" s="11"/>
      <c r="O412" s="11"/>
      <c r="P412" s="11"/>
      <c r="Q412" s="11"/>
      <c r="R412" s="11"/>
      <c r="S412" s="24"/>
      <c r="T412" s="24"/>
      <c r="U412" s="24"/>
      <c r="V412" s="24"/>
    </row>
    <row r="413" spans="1:22" ht="63.75">
      <c r="A413" s="10" t="s">
        <v>2140</v>
      </c>
      <c r="B413" s="11" t="str">
        <f>IFERROR(VLOOKUP(A413,Systems!A:B,2,FALSE),"Various")</f>
        <v>Cargo inerting systems</v>
      </c>
      <c r="C413" s="11" t="s">
        <v>2156</v>
      </c>
      <c r="D413" s="11"/>
      <c r="E413" s="11"/>
      <c r="F413" s="24" t="s">
        <v>1412</v>
      </c>
      <c r="G413" s="38"/>
      <c r="H413" s="11" t="s">
        <v>2200</v>
      </c>
      <c r="I413" s="11" t="s">
        <v>2209</v>
      </c>
      <c r="J413" s="11"/>
      <c r="K413" s="11"/>
      <c r="L413" s="11"/>
      <c r="M413" s="11"/>
      <c r="N413" s="11"/>
      <c r="O413" s="11"/>
      <c r="P413" s="11"/>
      <c r="Q413" s="11"/>
      <c r="R413" s="11"/>
      <c r="S413" s="24"/>
      <c r="T413" s="24"/>
      <c r="U413" s="24"/>
      <c r="V413" s="24"/>
    </row>
    <row r="414" spans="1:22" ht="38.25">
      <c r="A414" s="10" t="s">
        <v>2140</v>
      </c>
      <c r="B414" s="11" t="str">
        <f>IFERROR(VLOOKUP(A414,Systems!A:B,2,FALSE),"Various")</f>
        <v>Cargo inerting systems</v>
      </c>
      <c r="C414" s="11" t="s">
        <v>2156</v>
      </c>
      <c r="D414" s="11"/>
      <c r="E414" s="11"/>
      <c r="F414" s="24" t="s">
        <v>1412</v>
      </c>
      <c r="G414" s="38"/>
      <c r="H414" s="11" t="s">
        <v>2201</v>
      </c>
      <c r="I414" s="11" t="s">
        <v>2212</v>
      </c>
      <c r="J414" s="11"/>
      <c r="K414" s="11"/>
      <c r="L414" s="11"/>
      <c r="M414" s="11"/>
      <c r="N414" s="11"/>
      <c r="O414" s="11"/>
      <c r="P414" s="11"/>
      <c r="Q414" s="11"/>
      <c r="R414" s="11"/>
      <c r="S414" s="24"/>
      <c r="T414" s="24"/>
      <c r="U414" s="24"/>
      <c r="V414" s="24"/>
    </row>
    <row r="415" spans="1:22" ht="63.75">
      <c r="A415" s="10" t="s">
        <v>2140</v>
      </c>
      <c r="B415" s="11" t="str">
        <f>IFERROR(VLOOKUP(A415,Systems!A:B,2,FALSE),"Various")</f>
        <v>Cargo inerting systems</v>
      </c>
      <c r="C415" s="11" t="s">
        <v>2156</v>
      </c>
      <c r="D415" s="11"/>
      <c r="E415" s="11"/>
      <c r="F415" s="24" t="s">
        <v>1412</v>
      </c>
      <c r="G415" s="38"/>
      <c r="H415" s="11" t="s">
        <v>2202</v>
      </c>
      <c r="I415" s="11" t="s">
        <v>2213</v>
      </c>
      <c r="J415" s="11"/>
      <c r="K415" s="11"/>
      <c r="L415" s="11"/>
      <c r="M415" s="11"/>
      <c r="N415" s="11"/>
      <c r="O415" s="11"/>
      <c r="P415" s="11"/>
      <c r="Q415" s="11"/>
      <c r="R415" s="11"/>
      <c r="S415" s="24"/>
      <c r="T415" s="24"/>
      <c r="U415" s="24"/>
      <c r="V415" s="24"/>
    </row>
    <row r="416" spans="1:22" ht="63.75">
      <c r="A416" s="10" t="s">
        <v>2140</v>
      </c>
      <c r="B416" s="11" t="str">
        <f>IFERROR(VLOOKUP(A416,Systems!A:B,2,FALSE),"Various")</f>
        <v>Cargo inerting systems</v>
      </c>
      <c r="C416" s="11" t="s">
        <v>2156</v>
      </c>
      <c r="D416" s="11"/>
      <c r="E416" s="11"/>
      <c r="F416" s="24" t="s">
        <v>1412</v>
      </c>
      <c r="G416" s="38"/>
      <c r="H416" s="11" t="s">
        <v>2203</v>
      </c>
      <c r="I416" s="11" t="s">
        <v>2210</v>
      </c>
      <c r="J416" s="11"/>
      <c r="K416" s="11"/>
      <c r="L416" s="11"/>
      <c r="M416" s="11"/>
      <c r="N416" s="11"/>
      <c r="O416" s="11"/>
      <c r="P416" s="11"/>
      <c r="Q416" s="11"/>
      <c r="R416" s="11"/>
      <c r="S416" s="24"/>
      <c r="T416" s="24"/>
      <c r="U416" s="24"/>
      <c r="V416" s="24"/>
    </row>
    <row r="417" spans="1:22" ht="25.5">
      <c r="A417" s="10" t="s">
        <v>2140</v>
      </c>
      <c r="B417" s="11" t="str">
        <f>IFERROR(VLOOKUP(A417,Systems!A:B,2,FALSE),"Various")</f>
        <v>Cargo inerting systems</v>
      </c>
      <c r="C417" s="11" t="s">
        <v>2156</v>
      </c>
      <c r="D417" s="11"/>
      <c r="E417" s="11"/>
      <c r="F417" s="24" t="s">
        <v>1412</v>
      </c>
      <c r="G417" s="38"/>
      <c r="H417" s="11" t="s">
        <v>2204</v>
      </c>
      <c r="I417" s="11" t="s">
        <v>2211</v>
      </c>
      <c r="J417" s="11"/>
      <c r="K417" s="11"/>
      <c r="L417" s="11"/>
      <c r="M417" s="11"/>
      <c r="N417" s="11"/>
      <c r="O417" s="11"/>
      <c r="P417" s="11"/>
      <c r="Q417" s="11"/>
      <c r="R417" s="11"/>
      <c r="S417" s="24"/>
      <c r="T417" s="24"/>
      <c r="U417" s="24"/>
      <c r="V417" s="24"/>
    </row>
    <row r="418" spans="1:22" ht="38.25">
      <c r="A418" s="10" t="s">
        <v>2140</v>
      </c>
      <c r="B418" s="11" t="str">
        <f>IFERROR(VLOOKUP(A418,Systems!A:B,2,FALSE),"Various")</f>
        <v>Cargo inerting systems</v>
      </c>
      <c r="C418" s="11" t="s">
        <v>2157</v>
      </c>
      <c r="D418" s="11"/>
      <c r="E418" s="11"/>
      <c r="F418" s="24" t="s">
        <v>1412</v>
      </c>
      <c r="G418" s="38"/>
      <c r="H418" s="11" t="s">
        <v>2190</v>
      </c>
      <c r="I418" s="11" t="s">
        <v>2191</v>
      </c>
      <c r="J418" s="11"/>
      <c r="K418" s="11"/>
      <c r="L418" s="11"/>
      <c r="M418" s="11"/>
      <c r="N418" s="11"/>
      <c r="O418" s="11"/>
      <c r="P418" s="11"/>
      <c r="Q418" s="11"/>
      <c r="R418" s="11"/>
      <c r="S418" s="24"/>
      <c r="T418" s="24"/>
      <c r="U418" s="24"/>
      <c r="V418" s="24"/>
    </row>
    <row r="419" spans="1:22" ht="89.25">
      <c r="A419" s="10" t="s">
        <v>2140</v>
      </c>
      <c r="B419" s="11" t="str">
        <f>IFERROR(VLOOKUP(A419,Systems!A:B,2,FALSE),"Various")</f>
        <v>Cargo inerting systems</v>
      </c>
      <c r="C419" s="11" t="s">
        <v>2157</v>
      </c>
      <c r="D419" s="11"/>
      <c r="E419" s="11"/>
      <c r="F419" s="24" t="s">
        <v>1412</v>
      </c>
      <c r="G419" s="38"/>
      <c r="H419" s="11" t="s">
        <v>2223</v>
      </c>
      <c r="I419" s="11" t="s">
        <v>2222</v>
      </c>
      <c r="J419" s="11"/>
      <c r="K419" s="11"/>
      <c r="L419" s="11"/>
      <c r="M419" s="11"/>
      <c r="N419" s="11"/>
      <c r="O419" s="11"/>
      <c r="P419" s="11"/>
      <c r="Q419" s="11"/>
      <c r="R419" s="11"/>
      <c r="S419" s="24"/>
      <c r="T419" s="24"/>
      <c r="U419" s="24"/>
      <c r="V419" s="24"/>
    </row>
    <row r="420" spans="1:22" ht="178.5">
      <c r="A420" s="10" t="s">
        <v>2140</v>
      </c>
      <c r="B420" s="11" t="str">
        <f>IFERROR(VLOOKUP(A420,Systems!A:B,2,FALSE),"Various")</f>
        <v>Cargo inerting systems</v>
      </c>
      <c r="C420" s="11" t="s">
        <v>2310</v>
      </c>
      <c r="D420" s="11"/>
      <c r="E420" s="11"/>
      <c r="F420" s="24" t="s">
        <v>1412</v>
      </c>
      <c r="G420" s="38"/>
      <c r="H420" s="11" t="s">
        <v>2189</v>
      </c>
      <c r="I420" s="11" t="s">
        <v>2192</v>
      </c>
      <c r="J420" s="11"/>
      <c r="K420" s="11"/>
      <c r="L420" s="11"/>
      <c r="M420" s="11"/>
      <c r="N420" s="11"/>
      <c r="O420" s="11"/>
      <c r="P420" s="11"/>
      <c r="Q420" s="11"/>
      <c r="R420" s="11"/>
      <c r="S420" s="24"/>
      <c r="T420" s="24"/>
      <c r="U420" s="24"/>
      <c r="V420" s="24"/>
    </row>
    <row r="421" spans="1:22" ht="102">
      <c r="A421" s="10" t="s">
        <v>2140</v>
      </c>
      <c r="B421" s="11" t="str">
        <f>IFERROR(VLOOKUP(A421,Systems!A:B,2,FALSE),"Various")</f>
        <v>Cargo inerting systems</v>
      </c>
      <c r="C421" s="11" t="s">
        <v>2309</v>
      </c>
      <c r="D421" s="11"/>
      <c r="E421" s="11"/>
      <c r="F421" s="24" t="s">
        <v>1412</v>
      </c>
      <c r="G421" s="38"/>
      <c r="H421" s="11" t="s">
        <v>2186</v>
      </c>
      <c r="I421" s="11" t="s">
        <v>2193</v>
      </c>
      <c r="J421" s="11"/>
      <c r="K421" s="11"/>
      <c r="L421" s="11"/>
      <c r="M421" s="11"/>
      <c r="N421" s="11"/>
      <c r="O421" s="11"/>
      <c r="P421" s="11"/>
      <c r="Q421" s="11"/>
      <c r="R421" s="11"/>
      <c r="S421" s="24"/>
      <c r="T421" s="24"/>
      <c r="U421" s="24"/>
      <c r="V421" s="24"/>
    </row>
    <row r="422" spans="1:22" ht="63.75">
      <c r="A422" s="10" t="s">
        <v>2140</v>
      </c>
      <c r="B422" s="11" t="str">
        <f>IFERROR(VLOOKUP(A422,Systems!A:B,2,FALSE),"Various")</f>
        <v>Cargo inerting systems</v>
      </c>
      <c r="C422" s="11" t="s">
        <v>2308</v>
      </c>
      <c r="D422" s="11"/>
      <c r="E422" s="11"/>
      <c r="F422" s="24" t="s">
        <v>1412</v>
      </c>
      <c r="G422" s="38"/>
      <c r="H422" s="11" t="s">
        <v>2187</v>
      </c>
      <c r="I422" s="11" t="s">
        <v>2194</v>
      </c>
      <c r="J422" s="11"/>
      <c r="K422" s="11"/>
      <c r="L422" s="11"/>
      <c r="M422" s="11"/>
      <c r="N422" s="11"/>
      <c r="O422" s="11"/>
      <c r="P422" s="11"/>
      <c r="Q422" s="11"/>
      <c r="R422" s="11"/>
      <c r="S422" s="24"/>
      <c r="T422" s="24"/>
      <c r="U422" s="24"/>
      <c r="V422" s="24"/>
    </row>
    <row r="423" spans="1:22" ht="51">
      <c r="A423" s="10" t="s">
        <v>2140</v>
      </c>
      <c r="B423" s="11" t="str">
        <f>IFERROR(VLOOKUP(A423,Systems!A:B,2,FALSE),"Various")</f>
        <v>Cargo inerting systems</v>
      </c>
      <c r="C423" s="11" t="s">
        <v>2157</v>
      </c>
      <c r="D423" s="11"/>
      <c r="E423" s="11"/>
      <c r="F423" s="24" t="s">
        <v>1412</v>
      </c>
      <c r="G423" s="38"/>
      <c r="H423" s="11" t="s">
        <v>2188</v>
      </c>
      <c r="I423" s="11" t="s">
        <v>2195</v>
      </c>
      <c r="J423" s="11"/>
      <c r="K423" s="11"/>
      <c r="L423" s="11"/>
      <c r="M423" s="11"/>
      <c r="N423" s="11"/>
      <c r="O423" s="11"/>
      <c r="P423" s="11"/>
      <c r="Q423" s="11"/>
      <c r="R423" s="11"/>
      <c r="S423" s="24"/>
      <c r="T423" s="24"/>
      <c r="U423" s="24"/>
      <c r="V423" s="24"/>
    </row>
    <row r="424" spans="1:22" ht="102">
      <c r="A424" s="10" t="s">
        <v>2140</v>
      </c>
      <c r="B424" s="11" t="str">
        <f>IFERROR(VLOOKUP(A424,Systems!A:B,2,FALSE),"Various")</f>
        <v>Cargo inerting systems</v>
      </c>
      <c r="C424" s="11" t="s">
        <v>2157</v>
      </c>
      <c r="D424" s="11"/>
      <c r="E424" s="11"/>
      <c r="F424" s="24" t="s">
        <v>1412</v>
      </c>
      <c r="G424" s="38"/>
      <c r="H424" s="11" t="s">
        <v>2216</v>
      </c>
      <c r="I424" s="11" t="s">
        <v>2214</v>
      </c>
      <c r="J424" s="11"/>
      <c r="K424" s="11"/>
      <c r="L424" s="11"/>
      <c r="M424" s="11"/>
      <c r="N424" s="11"/>
      <c r="O424" s="11"/>
      <c r="P424" s="11"/>
      <c r="Q424" s="11"/>
      <c r="R424" s="11"/>
      <c r="S424" s="24"/>
      <c r="T424" s="24"/>
      <c r="U424" s="24"/>
      <c r="V424" s="24"/>
    </row>
    <row r="425" spans="1:22" ht="89.25">
      <c r="A425" s="10" t="s">
        <v>2140</v>
      </c>
      <c r="B425" s="11" t="str">
        <f>IFERROR(VLOOKUP(A425,Systems!A:B,2,FALSE),"Various")</f>
        <v>Cargo inerting systems</v>
      </c>
      <c r="C425" s="11" t="s">
        <v>2157</v>
      </c>
      <c r="D425" s="11"/>
      <c r="E425" s="11"/>
      <c r="F425" s="24" t="s">
        <v>1412</v>
      </c>
      <c r="G425" s="38"/>
      <c r="H425" s="11" t="s">
        <v>2215</v>
      </c>
      <c r="I425" s="11" t="s">
        <v>2217</v>
      </c>
      <c r="J425" s="11"/>
      <c r="K425" s="11"/>
      <c r="L425" s="11"/>
      <c r="M425" s="11"/>
      <c r="N425" s="11"/>
      <c r="O425" s="11"/>
      <c r="P425" s="11"/>
      <c r="Q425" s="11"/>
      <c r="R425" s="11"/>
      <c r="S425" s="24"/>
      <c r="T425" s="24"/>
      <c r="U425" s="24"/>
      <c r="V425" s="24"/>
    </row>
    <row r="426" spans="1:22" ht="38.25">
      <c r="A426" s="10" t="s">
        <v>2140</v>
      </c>
      <c r="B426" s="11" t="str">
        <f>IFERROR(VLOOKUP(A426,Systems!A:B,2,FALSE),"Various")</f>
        <v>Cargo inerting systems</v>
      </c>
      <c r="C426" s="11" t="s">
        <v>2157</v>
      </c>
      <c r="D426" s="11"/>
      <c r="E426" s="11"/>
      <c r="F426" s="24" t="s">
        <v>1412</v>
      </c>
      <c r="G426" s="38"/>
      <c r="H426" s="11" t="s">
        <v>2219</v>
      </c>
      <c r="I426" s="11" t="s">
        <v>2218</v>
      </c>
      <c r="J426" s="11"/>
      <c r="K426" s="11"/>
      <c r="L426" s="11"/>
      <c r="M426" s="11"/>
      <c r="N426" s="11"/>
      <c r="O426" s="11"/>
      <c r="P426" s="11"/>
      <c r="Q426" s="11"/>
      <c r="R426" s="11"/>
      <c r="S426" s="24"/>
      <c r="T426" s="24"/>
      <c r="U426" s="24"/>
      <c r="V426" s="24"/>
    </row>
    <row r="427" spans="1:22" ht="25.5">
      <c r="A427" s="10" t="s">
        <v>2140</v>
      </c>
      <c r="B427" s="11" t="str">
        <f>IFERROR(VLOOKUP(A427,Systems!A:B,2,FALSE),"Various")</f>
        <v>Cargo inerting systems</v>
      </c>
      <c r="C427" s="11" t="s">
        <v>2157</v>
      </c>
      <c r="D427" s="11"/>
      <c r="E427" s="11"/>
      <c r="F427" s="24" t="s">
        <v>1412</v>
      </c>
      <c r="G427" s="38"/>
      <c r="H427" s="11" t="s">
        <v>2220</v>
      </c>
      <c r="I427" s="11" t="s">
        <v>2221</v>
      </c>
      <c r="J427" s="11"/>
      <c r="K427" s="11"/>
      <c r="L427" s="11"/>
      <c r="M427" s="11"/>
      <c r="N427" s="11"/>
      <c r="O427" s="11"/>
      <c r="P427" s="11"/>
      <c r="Q427" s="11"/>
      <c r="R427" s="11"/>
      <c r="S427" s="24"/>
      <c r="T427" s="24"/>
      <c r="U427" s="24"/>
      <c r="V427" s="24"/>
    </row>
    <row r="428" spans="1:22" ht="102">
      <c r="A428" s="10" t="s">
        <v>2140</v>
      </c>
      <c r="B428" s="11" t="str">
        <f>IFERROR(VLOOKUP(A428,Systems!A:B,2,FALSE),"Various")</f>
        <v>Cargo inerting systems</v>
      </c>
      <c r="C428" s="11" t="s">
        <v>2160</v>
      </c>
      <c r="D428" s="11"/>
      <c r="E428" s="11"/>
      <c r="F428" s="24" t="s">
        <v>1412</v>
      </c>
      <c r="G428" s="38"/>
      <c r="H428" s="11" t="s">
        <v>2166</v>
      </c>
      <c r="I428" s="11" t="s">
        <v>2229</v>
      </c>
      <c r="J428" s="11"/>
      <c r="K428" s="11"/>
      <c r="L428" s="11"/>
      <c r="M428" s="11"/>
      <c r="N428" s="11"/>
      <c r="O428" s="11"/>
      <c r="P428" s="11"/>
      <c r="Q428" s="11"/>
      <c r="R428" s="11"/>
      <c r="S428" s="24"/>
      <c r="T428" s="24"/>
      <c r="U428" s="24"/>
      <c r="V428" s="24"/>
    </row>
    <row r="429" spans="1:22" ht="229.5">
      <c r="A429" s="10" t="s">
        <v>2140</v>
      </c>
      <c r="B429" s="11" t="str">
        <f>IFERROR(VLOOKUP(A429,Systems!A:B,2,FALSE),"Various")</f>
        <v>Cargo inerting systems</v>
      </c>
      <c r="C429" s="11" t="s">
        <v>2160</v>
      </c>
      <c r="D429" s="11"/>
      <c r="E429" s="11"/>
      <c r="F429" s="24" t="s">
        <v>1412</v>
      </c>
      <c r="G429" s="38"/>
      <c r="H429" s="11" t="s">
        <v>2167</v>
      </c>
      <c r="I429" s="11" t="s">
        <v>2230</v>
      </c>
      <c r="J429" s="11"/>
      <c r="K429" s="11"/>
      <c r="L429" s="11"/>
      <c r="M429" s="11"/>
      <c r="N429" s="11"/>
      <c r="O429" s="11"/>
      <c r="P429" s="11"/>
      <c r="Q429" s="11"/>
      <c r="R429" s="11"/>
      <c r="S429" s="24"/>
      <c r="T429" s="24"/>
      <c r="U429" s="24"/>
      <c r="V429" s="24"/>
    </row>
    <row r="430" spans="1:22" ht="102">
      <c r="A430" s="10" t="s">
        <v>2140</v>
      </c>
      <c r="B430" s="11" t="str">
        <f>IFERROR(VLOOKUP(A430,Systems!A:B,2,FALSE),"Various")</f>
        <v>Cargo inerting systems</v>
      </c>
      <c r="C430" s="11" t="s">
        <v>2160</v>
      </c>
      <c r="D430" s="11"/>
      <c r="E430" s="11"/>
      <c r="F430" s="24" t="s">
        <v>1412</v>
      </c>
      <c r="G430" s="38"/>
      <c r="H430" s="11" t="s">
        <v>2168</v>
      </c>
      <c r="I430" s="11" t="s">
        <v>2231</v>
      </c>
      <c r="J430" s="11"/>
      <c r="K430" s="11"/>
      <c r="L430" s="11"/>
      <c r="M430" s="11"/>
      <c r="N430" s="11"/>
      <c r="O430" s="11"/>
      <c r="P430" s="11"/>
      <c r="Q430" s="11"/>
      <c r="R430" s="11"/>
      <c r="S430" s="24"/>
      <c r="T430" s="24"/>
      <c r="U430" s="24"/>
      <c r="V430" s="24"/>
    </row>
    <row r="431" spans="1:22" ht="114.75">
      <c r="A431" s="10" t="s">
        <v>2140</v>
      </c>
      <c r="B431" s="11" t="str">
        <f>IFERROR(VLOOKUP(A431,Systems!A:B,2,FALSE),"Various")</f>
        <v>Cargo inerting systems</v>
      </c>
      <c r="C431" s="11" t="s">
        <v>2158</v>
      </c>
      <c r="D431" s="11"/>
      <c r="E431" s="11"/>
      <c r="F431" s="24" t="s">
        <v>1412</v>
      </c>
      <c r="G431" s="38"/>
      <c r="H431" s="11" t="s">
        <v>2159</v>
      </c>
      <c r="I431" s="11" t="s">
        <v>2224</v>
      </c>
      <c r="J431" s="11"/>
      <c r="K431" s="11"/>
      <c r="L431" s="11"/>
      <c r="M431" s="11"/>
      <c r="N431" s="11"/>
      <c r="O431" s="11"/>
      <c r="P431" s="11"/>
      <c r="Q431" s="11"/>
      <c r="R431" s="11"/>
      <c r="S431" s="24"/>
      <c r="T431" s="24"/>
      <c r="U431" s="24"/>
      <c r="V431" s="24"/>
    </row>
    <row r="432" spans="1:22" ht="76.5">
      <c r="A432" s="10" t="s">
        <v>2140</v>
      </c>
      <c r="B432" s="11" t="str">
        <f>IFERROR(VLOOKUP(A432,Systems!A:B,2,FALSE),"Various")</f>
        <v>Cargo inerting systems</v>
      </c>
      <c r="C432" s="11" t="s">
        <v>2158</v>
      </c>
      <c r="D432" s="11"/>
      <c r="E432" s="11"/>
      <c r="F432" s="24" t="s">
        <v>1412</v>
      </c>
      <c r="G432" s="38"/>
      <c r="H432" s="11" t="s">
        <v>2162</v>
      </c>
      <c r="I432" s="11" t="s">
        <v>2225</v>
      </c>
      <c r="J432" s="11"/>
      <c r="K432" s="11"/>
      <c r="L432" s="11"/>
      <c r="M432" s="11"/>
      <c r="N432" s="11"/>
      <c r="O432" s="11"/>
      <c r="P432" s="11"/>
      <c r="Q432" s="11"/>
      <c r="R432" s="11"/>
      <c r="S432" s="24"/>
      <c r="T432" s="24"/>
      <c r="U432" s="24"/>
      <c r="V432" s="24"/>
    </row>
    <row r="433" spans="1:22" ht="63.75">
      <c r="A433" s="10" t="s">
        <v>2140</v>
      </c>
      <c r="B433" s="11" t="str">
        <f>IFERROR(VLOOKUP(A433,Systems!A:B,2,FALSE),"Various")</f>
        <v>Cargo inerting systems</v>
      </c>
      <c r="C433" s="11" t="s">
        <v>2158</v>
      </c>
      <c r="D433" s="11"/>
      <c r="E433" s="11"/>
      <c r="F433" s="24" t="s">
        <v>1412</v>
      </c>
      <c r="G433" s="38"/>
      <c r="H433" s="11" t="s">
        <v>2163</v>
      </c>
      <c r="I433" s="11" t="s">
        <v>2226</v>
      </c>
      <c r="J433" s="11"/>
      <c r="K433" s="11"/>
      <c r="L433" s="11"/>
      <c r="M433" s="11"/>
      <c r="N433" s="11"/>
      <c r="O433" s="11"/>
      <c r="P433" s="11"/>
      <c r="Q433" s="11"/>
      <c r="R433" s="11"/>
      <c r="S433" s="24"/>
      <c r="T433" s="24"/>
      <c r="U433" s="24"/>
      <c r="V433" s="24"/>
    </row>
    <row r="434" spans="1:22" ht="102">
      <c r="A434" s="10" t="s">
        <v>2140</v>
      </c>
      <c r="B434" s="11" t="str">
        <f>IFERROR(VLOOKUP(A434,Systems!A:B,2,FALSE),"Various")</f>
        <v>Cargo inerting systems</v>
      </c>
      <c r="C434" s="11" t="s">
        <v>2158</v>
      </c>
      <c r="D434" s="11"/>
      <c r="E434" s="11"/>
      <c r="F434" s="24" t="s">
        <v>1412</v>
      </c>
      <c r="G434" s="38"/>
      <c r="H434" s="11" t="s">
        <v>2164</v>
      </c>
      <c r="I434" s="11" t="s">
        <v>2227</v>
      </c>
      <c r="J434" s="11"/>
      <c r="K434" s="11"/>
      <c r="L434" s="11"/>
      <c r="M434" s="11"/>
      <c r="N434" s="11"/>
      <c r="O434" s="11"/>
      <c r="P434" s="11"/>
      <c r="Q434" s="11"/>
      <c r="R434" s="11"/>
      <c r="S434" s="24"/>
      <c r="T434" s="24"/>
      <c r="U434" s="24"/>
      <c r="V434" s="24"/>
    </row>
    <row r="435" spans="1:22" ht="165.75">
      <c r="A435" s="10" t="s">
        <v>2140</v>
      </c>
      <c r="B435" s="11" t="str">
        <f>IFERROR(VLOOKUP(A435,Systems!A:B,2,FALSE),"Various")</f>
        <v>Cargo inerting systems</v>
      </c>
      <c r="C435" s="11" t="s">
        <v>2160</v>
      </c>
      <c r="D435" s="11"/>
      <c r="E435" s="11"/>
      <c r="F435" s="24" t="s">
        <v>1412</v>
      </c>
      <c r="G435" s="38"/>
      <c r="H435" s="11" t="s">
        <v>2165</v>
      </c>
      <c r="I435" s="11" t="s">
        <v>2228</v>
      </c>
      <c r="J435" s="11"/>
      <c r="K435" s="11"/>
      <c r="L435" s="11"/>
      <c r="M435" s="11"/>
      <c r="N435" s="11"/>
      <c r="O435" s="11"/>
      <c r="P435" s="11"/>
      <c r="Q435" s="11"/>
      <c r="R435" s="11"/>
      <c r="S435" s="24"/>
      <c r="T435" s="24"/>
      <c r="U435" s="24"/>
      <c r="V435" s="24"/>
    </row>
    <row r="436" spans="1:22" ht="102">
      <c r="A436" s="10" t="s">
        <v>2140</v>
      </c>
      <c r="B436" s="11" t="str">
        <f>IFERROR(VLOOKUP(A436,Systems!A:B,2,FALSE),"Various")</f>
        <v>Cargo inerting systems</v>
      </c>
      <c r="C436" s="11" t="s">
        <v>2161</v>
      </c>
      <c r="D436" s="11"/>
      <c r="E436" s="11"/>
      <c r="F436" s="24" t="s">
        <v>1412</v>
      </c>
      <c r="G436" s="38"/>
      <c r="H436" s="11" t="s">
        <v>2169</v>
      </c>
      <c r="I436" s="11" t="s">
        <v>2232</v>
      </c>
      <c r="J436" s="11"/>
      <c r="K436" s="11"/>
      <c r="L436" s="11"/>
      <c r="M436" s="11"/>
      <c r="N436" s="11"/>
      <c r="O436" s="11"/>
      <c r="P436" s="11"/>
      <c r="Q436" s="11"/>
      <c r="R436" s="11"/>
      <c r="S436" s="24"/>
      <c r="T436" s="24"/>
      <c r="U436" s="24"/>
      <c r="V436" s="24"/>
    </row>
    <row r="437" spans="1:22" ht="165.75">
      <c r="A437" s="10" t="s">
        <v>2140</v>
      </c>
      <c r="B437" s="11" t="str">
        <f>IFERROR(VLOOKUP(A437,Systems!A:B,2,FALSE),"Various")</f>
        <v>Cargo inerting systems</v>
      </c>
      <c r="C437" s="11" t="s">
        <v>2237</v>
      </c>
      <c r="D437" s="11"/>
      <c r="E437" s="11"/>
      <c r="F437" s="24" t="s">
        <v>1412</v>
      </c>
      <c r="G437" s="38"/>
      <c r="H437" s="11"/>
      <c r="I437" s="11" t="s">
        <v>2238</v>
      </c>
      <c r="J437" s="11"/>
      <c r="K437" s="11"/>
      <c r="L437" s="11"/>
      <c r="M437" s="11"/>
      <c r="N437" s="11"/>
      <c r="O437" s="11"/>
      <c r="P437" s="11"/>
      <c r="Q437" s="11"/>
      <c r="R437" s="11"/>
      <c r="S437" s="24"/>
      <c r="T437" s="24"/>
      <c r="U437" s="24"/>
      <c r="V437" s="24"/>
    </row>
    <row r="438" spans="1:22" ht="127.5">
      <c r="A438" s="10" t="s">
        <v>2140</v>
      </c>
      <c r="B438" s="11" t="str">
        <f>IFERROR(VLOOKUP(A438,Systems!A:B,2,FALSE),"Various")</f>
        <v>Cargo inerting systems</v>
      </c>
      <c r="C438" s="11" t="s">
        <v>2240</v>
      </c>
      <c r="D438" s="11"/>
      <c r="E438" s="11"/>
      <c r="F438" s="24" t="s">
        <v>1412</v>
      </c>
      <c r="G438" s="38"/>
      <c r="H438" s="11"/>
      <c r="I438" s="11" t="s">
        <v>2239</v>
      </c>
      <c r="J438" s="11"/>
      <c r="K438" s="11"/>
      <c r="L438" s="11"/>
      <c r="M438" s="11"/>
      <c r="N438" s="11"/>
      <c r="O438" s="11"/>
      <c r="P438" s="11"/>
      <c r="Q438" s="11"/>
      <c r="R438" s="11"/>
      <c r="S438" s="24"/>
      <c r="T438" s="24"/>
      <c r="U438" s="24"/>
      <c r="V438" s="24"/>
    </row>
    <row r="439" spans="1:22" ht="153">
      <c r="A439" s="10" t="s">
        <v>2140</v>
      </c>
      <c r="B439" s="11" t="str">
        <f>IFERROR(VLOOKUP(A439,Systems!A:B,2,FALSE),"Various")</f>
        <v>Cargo inerting systems</v>
      </c>
      <c r="C439" s="11" t="s">
        <v>2242</v>
      </c>
      <c r="D439" s="11"/>
      <c r="E439" s="11"/>
      <c r="F439" s="24" t="s">
        <v>1412</v>
      </c>
      <c r="G439" s="38"/>
      <c r="H439" s="11"/>
      <c r="I439" s="11" t="s">
        <v>2241</v>
      </c>
      <c r="J439" s="11"/>
      <c r="K439" s="11"/>
      <c r="L439" s="11"/>
      <c r="M439" s="11"/>
      <c r="N439" s="11"/>
      <c r="O439" s="11"/>
      <c r="P439" s="11"/>
      <c r="Q439" s="11"/>
      <c r="R439" s="11"/>
      <c r="S439" s="24"/>
      <c r="T439" s="24"/>
      <c r="U439" s="24"/>
      <c r="V439" s="24"/>
    </row>
    <row r="440" spans="1:22" ht="255">
      <c r="A440" s="10" t="s">
        <v>2140</v>
      </c>
      <c r="B440" s="11" t="str">
        <f>IFERROR(VLOOKUP(A440,Systems!A:B,2,FALSE),"Various")</f>
        <v>Cargo inerting systems</v>
      </c>
      <c r="C440" s="11" t="s">
        <v>2244</v>
      </c>
      <c r="D440" s="11"/>
      <c r="E440" s="11"/>
      <c r="F440" s="24" t="s">
        <v>1412</v>
      </c>
      <c r="G440" s="38"/>
      <c r="H440" s="11"/>
      <c r="I440" s="11" t="s">
        <v>2243</v>
      </c>
      <c r="J440" s="11"/>
      <c r="K440" s="11"/>
      <c r="L440" s="11"/>
      <c r="M440" s="11"/>
      <c r="N440" s="11"/>
      <c r="O440" s="11"/>
      <c r="P440" s="11"/>
      <c r="Q440" s="11"/>
      <c r="R440" s="11"/>
      <c r="S440" s="24"/>
      <c r="T440" s="24"/>
      <c r="U440" s="24"/>
      <c r="V440" s="24"/>
    </row>
    <row r="441" spans="1:22" ht="127.5">
      <c r="A441" s="10" t="s">
        <v>2140</v>
      </c>
      <c r="B441" s="11" t="str">
        <f>IFERROR(VLOOKUP(A441,Systems!A:B,2,FALSE),"Various")</f>
        <v>Cargo inerting systems</v>
      </c>
      <c r="C441" s="11" t="s">
        <v>2245</v>
      </c>
      <c r="D441" s="11"/>
      <c r="E441" s="11"/>
      <c r="F441" s="24" t="s">
        <v>1412</v>
      </c>
      <c r="G441" s="38"/>
      <c r="H441" s="11"/>
      <c r="I441" s="11" t="s">
        <v>2246</v>
      </c>
      <c r="J441" s="11"/>
      <c r="K441" s="11"/>
      <c r="L441" s="11"/>
      <c r="M441" s="11"/>
      <c r="N441" s="11"/>
      <c r="O441" s="11"/>
      <c r="P441" s="11"/>
      <c r="Q441" s="11"/>
      <c r="R441" s="11"/>
      <c r="S441" s="24"/>
      <c r="T441" s="24"/>
      <c r="U441" s="24"/>
      <c r="V441" s="24"/>
    </row>
    <row r="442" spans="1:22" ht="114.75">
      <c r="A442" s="10" t="s">
        <v>2140</v>
      </c>
      <c r="B442" s="11" t="str">
        <f>IFERROR(VLOOKUP(A442,Systems!A:B,2,FALSE),"Various")</f>
        <v>Cargo inerting systems</v>
      </c>
      <c r="C442" s="11" t="s">
        <v>2247</v>
      </c>
      <c r="D442" s="11"/>
      <c r="E442" s="11"/>
      <c r="F442" s="24" t="s">
        <v>1412</v>
      </c>
      <c r="G442" s="38"/>
      <c r="H442" s="11"/>
      <c r="I442" s="11" t="s">
        <v>2307</v>
      </c>
      <c r="J442" s="11"/>
      <c r="K442" s="11"/>
      <c r="L442" s="11"/>
      <c r="M442" s="11"/>
      <c r="N442" s="11"/>
      <c r="O442" s="11"/>
      <c r="P442" s="11"/>
      <c r="Q442" s="11"/>
      <c r="R442" s="11"/>
      <c r="S442" s="24"/>
      <c r="T442" s="24"/>
      <c r="U442" s="24"/>
      <c r="V442" s="24"/>
    </row>
    <row r="443" spans="1:22" ht="51">
      <c r="A443" s="10" t="s">
        <v>2140</v>
      </c>
      <c r="B443" s="11" t="str">
        <f>IFERROR(VLOOKUP(A443,Systems!A:B,2,FALSE),"Various")</f>
        <v>Cargo inerting systems</v>
      </c>
      <c r="C443" s="11" t="s">
        <v>2158</v>
      </c>
      <c r="D443" s="11"/>
      <c r="E443" s="11"/>
      <c r="F443" s="24" t="s">
        <v>1412</v>
      </c>
      <c r="G443" s="38"/>
      <c r="H443" s="11"/>
      <c r="I443" s="11" t="s">
        <v>2248</v>
      </c>
      <c r="J443" s="11"/>
      <c r="K443" s="11"/>
      <c r="L443" s="11"/>
      <c r="M443" s="11"/>
      <c r="N443" s="11"/>
      <c r="O443" s="11"/>
      <c r="P443" s="11"/>
      <c r="Q443" s="11"/>
      <c r="R443" s="11"/>
      <c r="S443" s="24"/>
      <c r="T443" s="24"/>
      <c r="U443" s="24"/>
      <c r="V443" s="24"/>
    </row>
    <row r="444" spans="1:22" ht="127.5">
      <c r="A444" s="10" t="s">
        <v>2140</v>
      </c>
      <c r="B444" s="11" t="str">
        <f>IFERROR(VLOOKUP(A444,Systems!A:B,2,FALSE),"Various")</f>
        <v>Cargo inerting systems</v>
      </c>
      <c r="C444" s="11" t="s">
        <v>2160</v>
      </c>
      <c r="D444" s="11"/>
      <c r="E444" s="11"/>
      <c r="F444" s="24" t="s">
        <v>1412</v>
      </c>
      <c r="G444" s="38"/>
      <c r="H444" s="11"/>
      <c r="I444" s="11" t="s">
        <v>2249</v>
      </c>
      <c r="J444" s="11"/>
      <c r="K444" s="11"/>
      <c r="L444" s="11"/>
      <c r="M444" s="11"/>
      <c r="N444" s="11"/>
      <c r="O444" s="11"/>
      <c r="P444" s="11"/>
      <c r="Q444" s="11"/>
      <c r="R444" s="11"/>
      <c r="S444" s="24"/>
      <c r="T444" s="24"/>
      <c r="U444" s="24"/>
      <c r="V444" s="24"/>
    </row>
    <row r="445" spans="1:22" ht="51">
      <c r="A445" s="10" t="s">
        <v>2140</v>
      </c>
      <c r="B445" s="11" t="str">
        <f>IFERROR(VLOOKUP(A445,Systems!A:B,2,FALSE),"Various")</f>
        <v>Cargo inerting systems</v>
      </c>
      <c r="C445" s="11" t="s">
        <v>2236</v>
      </c>
      <c r="D445" s="11"/>
      <c r="E445" s="11"/>
      <c r="F445" s="24" t="s">
        <v>1412</v>
      </c>
      <c r="G445" s="38"/>
      <c r="H445" s="11"/>
      <c r="I445" s="11" t="s">
        <v>2250</v>
      </c>
      <c r="J445" s="11"/>
      <c r="K445" s="11"/>
      <c r="L445" s="11"/>
      <c r="M445" s="11"/>
      <c r="N445" s="11"/>
      <c r="O445" s="11"/>
      <c r="P445" s="11"/>
      <c r="Q445" s="11"/>
      <c r="R445" s="11"/>
      <c r="S445" s="24"/>
      <c r="T445" s="24"/>
      <c r="U445" s="24"/>
      <c r="V445" s="24"/>
    </row>
    <row r="446" spans="1:22" ht="51">
      <c r="A446" s="10" t="s">
        <v>2140</v>
      </c>
      <c r="B446" s="11" t="str">
        <f>IFERROR(VLOOKUP(A446,Systems!A:B,2,FALSE),"Various")</f>
        <v>Cargo inerting systems</v>
      </c>
      <c r="C446" s="11" t="s">
        <v>2236</v>
      </c>
      <c r="D446" s="11"/>
      <c r="E446" s="11"/>
      <c r="F446" s="24" t="s">
        <v>1412</v>
      </c>
      <c r="G446" s="38"/>
      <c r="H446" s="11"/>
      <c r="I446" s="11" t="s">
        <v>2251</v>
      </c>
      <c r="J446" s="11"/>
      <c r="K446" s="11"/>
      <c r="L446" s="11"/>
      <c r="M446" s="11"/>
      <c r="N446" s="11"/>
      <c r="O446" s="11"/>
      <c r="P446" s="11"/>
      <c r="Q446" s="11"/>
      <c r="R446" s="11"/>
      <c r="S446" s="24"/>
      <c r="T446" s="24"/>
      <c r="U446" s="24"/>
      <c r="V446" s="24"/>
    </row>
    <row r="447" spans="1:22" ht="38.25">
      <c r="A447" s="10" t="s">
        <v>2140</v>
      </c>
      <c r="B447" s="11" t="str">
        <f>IFERROR(VLOOKUP(A447,Systems!A:B,2,FALSE),"Various")</f>
        <v>Cargo inerting systems</v>
      </c>
      <c r="C447" s="11" t="s">
        <v>2264</v>
      </c>
      <c r="D447" s="11"/>
      <c r="E447" s="11"/>
      <c r="F447" s="24" t="s">
        <v>1412</v>
      </c>
      <c r="G447" s="38"/>
      <c r="H447" s="11" t="s">
        <v>2253</v>
      </c>
      <c r="I447" s="11" t="s">
        <v>2252</v>
      </c>
      <c r="J447" s="11"/>
      <c r="K447" s="11"/>
      <c r="L447" s="11"/>
      <c r="M447" s="11"/>
      <c r="N447" s="11"/>
      <c r="O447" s="11"/>
      <c r="P447" s="11"/>
      <c r="Q447" s="11"/>
      <c r="R447" s="11"/>
      <c r="S447" s="24"/>
      <c r="T447" s="24"/>
      <c r="U447" s="24"/>
      <c r="V447" s="24"/>
    </row>
    <row r="448" spans="1:22" ht="51">
      <c r="A448" s="10" t="s">
        <v>2140</v>
      </c>
      <c r="B448" s="11" t="str">
        <f>IFERROR(VLOOKUP(A448,Systems!A:B,2,FALSE),"Various")</f>
        <v>Cargo inerting systems</v>
      </c>
      <c r="C448" s="11" t="s">
        <v>2264</v>
      </c>
      <c r="D448" s="11"/>
      <c r="E448" s="11"/>
      <c r="F448" s="24" t="s">
        <v>1412</v>
      </c>
      <c r="G448" s="38"/>
      <c r="H448" s="11"/>
      <c r="I448" s="11" t="s">
        <v>2254</v>
      </c>
      <c r="J448" s="11"/>
      <c r="K448" s="11"/>
      <c r="L448" s="11"/>
      <c r="M448" s="11"/>
      <c r="N448" s="11"/>
      <c r="O448" s="11"/>
      <c r="P448" s="11"/>
      <c r="Q448" s="11"/>
      <c r="R448" s="11"/>
      <c r="S448" s="24"/>
      <c r="T448" s="24"/>
      <c r="U448" s="24"/>
      <c r="V448" s="24"/>
    </row>
    <row r="449" spans="1:22" ht="51">
      <c r="A449" s="10" t="s">
        <v>2140</v>
      </c>
      <c r="B449" s="11" t="str">
        <f>IFERROR(VLOOKUP(A449,Systems!A:B,2,FALSE),"Various")</f>
        <v>Cargo inerting systems</v>
      </c>
      <c r="C449" s="11" t="s">
        <v>2265</v>
      </c>
      <c r="D449" s="11"/>
      <c r="E449" s="11"/>
      <c r="F449" s="24" t="s">
        <v>1412</v>
      </c>
      <c r="G449" s="38"/>
      <c r="H449" s="11" t="s">
        <v>2260</v>
      </c>
      <c r="I449" s="11" t="s">
        <v>2255</v>
      </c>
      <c r="J449" s="11"/>
      <c r="K449" s="11"/>
      <c r="L449" s="11"/>
      <c r="M449" s="11"/>
      <c r="N449" s="11"/>
      <c r="O449" s="11"/>
      <c r="P449" s="11"/>
      <c r="Q449" s="11"/>
      <c r="R449" s="11"/>
      <c r="S449" s="24"/>
      <c r="T449" s="24"/>
      <c r="U449" s="24"/>
      <c r="V449" s="24"/>
    </row>
    <row r="450" spans="1:22" ht="51">
      <c r="A450" s="10" t="s">
        <v>2140</v>
      </c>
      <c r="B450" s="11" t="str">
        <f>IFERROR(VLOOKUP(A450,Systems!A:B,2,FALSE),"Various")</f>
        <v>Cargo inerting systems</v>
      </c>
      <c r="C450" s="11" t="s">
        <v>2265</v>
      </c>
      <c r="D450" s="11"/>
      <c r="E450" s="11"/>
      <c r="F450" s="24" t="s">
        <v>1412</v>
      </c>
      <c r="G450" s="38"/>
      <c r="H450" s="11"/>
      <c r="I450" s="11" t="s">
        <v>2256</v>
      </c>
      <c r="J450" s="11"/>
      <c r="K450" s="11"/>
      <c r="L450" s="11"/>
      <c r="M450" s="11"/>
      <c r="N450" s="11"/>
      <c r="O450" s="11"/>
      <c r="P450" s="11"/>
      <c r="Q450" s="11"/>
      <c r="R450" s="11"/>
      <c r="S450" s="24"/>
      <c r="T450" s="24"/>
      <c r="U450" s="24"/>
      <c r="V450" s="24"/>
    </row>
    <row r="451" spans="1:22" ht="76.5">
      <c r="A451" s="10" t="s">
        <v>2140</v>
      </c>
      <c r="B451" s="11" t="str">
        <f>IFERROR(VLOOKUP(A451,Systems!A:B,2,FALSE),"Various")</f>
        <v>Cargo inerting systems</v>
      </c>
      <c r="C451" s="11" t="s">
        <v>2131</v>
      </c>
      <c r="D451" s="11"/>
      <c r="E451" s="11"/>
      <c r="F451" s="24" t="s">
        <v>1412</v>
      </c>
      <c r="G451" s="38"/>
      <c r="H451" s="11" t="s">
        <v>2133</v>
      </c>
      <c r="I451" s="11" t="s">
        <v>2258</v>
      </c>
      <c r="J451" s="11"/>
      <c r="K451" s="11"/>
      <c r="L451" s="11"/>
      <c r="M451" s="11"/>
      <c r="N451" s="11"/>
      <c r="O451" s="11"/>
      <c r="P451" s="11"/>
      <c r="Q451" s="11"/>
      <c r="R451" s="11"/>
      <c r="S451" s="24"/>
      <c r="T451" s="24"/>
      <c r="U451" s="24"/>
      <c r="V451" s="24"/>
    </row>
    <row r="452" spans="1:22" ht="102">
      <c r="A452" s="10" t="s">
        <v>2140</v>
      </c>
      <c r="B452" s="11" t="str">
        <f>IFERROR(VLOOKUP(A452,Systems!A:B,2,FALSE),"Various")</f>
        <v>Cargo inerting systems</v>
      </c>
      <c r="C452" s="11" t="s">
        <v>2132</v>
      </c>
      <c r="D452" s="11"/>
      <c r="E452" s="11"/>
      <c r="F452" s="24" t="s">
        <v>1412</v>
      </c>
      <c r="G452" s="38"/>
      <c r="H452" s="11" t="s">
        <v>2134</v>
      </c>
      <c r="I452" s="11" t="s">
        <v>2257</v>
      </c>
      <c r="J452" s="11"/>
      <c r="K452" s="11"/>
      <c r="L452" s="11"/>
      <c r="M452" s="11"/>
      <c r="N452" s="11"/>
      <c r="O452" s="11"/>
      <c r="P452" s="11"/>
      <c r="Q452" s="11"/>
      <c r="R452" s="11"/>
      <c r="S452" s="24"/>
      <c r="T452" s="24"/>
      <c r="U452" s="24"/>
      <c r="V452" s="24"/>
    </row>
    <row r="453" spans="1:22" ht="114.75">
      <c r="A453" s="10" t="s">
        <v>2140</v>
      </c>
      <c r="B453" s="11" t="str">
        <f>IFERROR(VLOOKUP(A453,Systems!A:B,2,FALSE),"Various")</f>
        <v>Cargo inerting systems</v>
      </c>
      <c r="C453" s="11" t="s">
        <v>2266</v>
      </c>
      <c r="D453" s="11"/>
      <c r="E453" s="11"/>
      <c r="F453" s="24" t="s">
        <v>1412</v>
      </c>
      <c r="G453" s="38"/>
      <c r="H453" s="11" t="s">
        <v>2261</v>
      </c>
      <c r="I453" s="11" t="s">
        <v>2259</v>
      </c>
      <c r="J453" s="11"/>
      <c r="K453" s="11"/>
      <c r="L453" s="11"/>
      <c r="M453" s="11"/>
      <c r="N453" s="11"/>
      <c r="O453" s="11"/>
      <c r="P453" s="11"/>
      <c r="Q453" s="11"/>
      <c r="R453" s="11"/>
      <c r="S453" s="24"/>
      <c r="T453" s="24"/>
      <c r="U453" s="24"/>
      <c r="V453" s="24"/>
    </row>
    <row r="454" spans="1:22" ht="114.75">
      <c r="A454" s="10" t="s">
        <v>2140</v>
      </c>
      <c r="B454" s="11" t="str">
        <f>IFERROR(VLOOKUP(A454,Systems!A:B,2,FALSE),"Various")</f>
        <v>Cargo inerting systems</v>
      </c>
      <c r="C454" s="11" t="s">
        <v>2267</v>
      </c>
      <c r="D454" s="11"/>
      <c r="E454" s="11"/>
      <c r="F454" s="24" t="s">
        <v>1412</v>
      </c>
      <c r="G454" s="38"/>
      <c r="H454" s="11" t="s">
        <v>2262</v>
      </c>
      <c r="I454" s="11" t="s">
        <v>2263</v>
      </c>
      <c r="J454" s="11"/>
      <c r="K454" s="11"/>
      <c r="L454" s="11"/>
      <c r="M454" s="11"/>
      <c r="N454" s="11"/>
      <c r="O454" s="11"/>
      <c r="P454" s="11"/>
      <c r="Q454" s="11"/>
      <c r="R454" s="11"/>
      <c r="S454" s="24"/>
      <c r="T454" s="24"/>
      <c r="U454" s="24"/>
      <c r="V454" s="24"/>
    </row>
    <row r="455" spans="1:22" ht="25.5">
      <c r="A455" s="10" t="s">
        <v>2140</v>
      </c>
      <c r="B455" s="11" t="str">
        <f>IFERROR(VLOOKUP(A455,Systems!A:B,2,FALSE),"Various")</f>
        <v>Cargo inerting systems</v>
      </c>
      <c r="C455" s="11" t="s">
        <v>2155</v>
      </c>
      <c r="D455" s="11"/>
      <c r="E455" s="11"/>
      <c r="F455" s="24" t="s">
        <v>1412</v>
      </c>
      <c r="G455" s="38"/>
      <c r="H455" s="11" t="s">
        <v>2269</v>
      </c>
      <c r="I455" s="11" t="s">
        <v>2268</v>
      </c>
      <c r="J455" s="11"/>
      <c r="K455" s="11"/>
      <c r="L455" s="11"/>
      <c r="M455" s="11"/>
      <c r="N455" s="11"/>
      <c r="O455" s="11"/>
      <c r="P455" s="11"/>
      <c r="Q455" s="11"/>
      <c r="R455" s="11"/>
      <c r="S455" s="24"/>
      <c r="T455" s="24"/>
      <c r="U455" s="24"/>
      <c r="V455" s="24"/>
    </row>
    <row r="456" spans="1:22" ht="51">
      <c r="A456" s="10" t="s">
        <v>2140</v>
      </c>
      <c r="B456" s="11" t="str">
        <f>IFERROR(VLOOKUP(A456,Systems!A:B,2,FALSE),"Various")</f>
        <v>Cargo inerting systems</v>
      </c>
      <c r="C456" s="11" t="s">
        <v>2155</v>
      </c>
      <c r="D456" s="11"/>
      <c r="E456" s="11"/>
      <c r="F456" s="24" t="s">
        <v>1412</v>
      </c>
      <c r="G456" s="38"/>
      <c r="H456" s="11" t="s">
        <v>2271</v>
      </c>
      <c r="I456" s="11" t="s">
        <v>2273</v>
      </c>
      <c r="J456" s="11"/>
      <c r="K456" s="11"/>
      <c r="L456" s="11"/>
      <c r="M456" s="11"/>
      <c r="N456" s="11"/>
      <c r="O456" s="11"/>
      <c r="P456" s="11"/>
      <c r="Q456" s="11"/>
      <c r="R456" s="11"/>
      <c r="S456" s="24"/>
      <c r="T456" s="24"/>
      <c r="U456" s="24"/>
      <c r="V456" s="24"/>
    </row>
    <row r="457" spans="1:22" ht="51">
      <c r="A457" s="10" t="s">
        <v>2140</v>
      </c>
      <c r="B457" s="11" t="str">
        <f>IFERROR(VLOOKUP(A457,Systems!A:B,2,FALSE),"Various")</f>
        <v>Cargo inerting systems</v>
      </c>
      <c r="C457" s="11" t="s">
        <v>2158</v>
      </c>
      <c r="D457" s="11"/>
      <c r="E457" s="11"/>
      <c r="F457" s="24" t="s">
        <v>1412</v>
      </c>
      <c r="G457" s="38"/>
      <c r="H457" s="11" t="s">
        <v>2275</v>
      </c>
      <c r="I457" s="11" t="s">
        <v>2276</v>
      </c>
      <c r="J457" s="11"/>
      <c r="K457" s="11"/>
      <c r="L457" s="11"/>
      <c r="M457" s="11"/>
      <c r="N457" s="11"/>
      <c r="O457" s="11"/>
      <c r="P457" s="11"/>
      <c r="Q457" s="11"/>
      <c r="R457" s="11"/>
      <c r="S457" s="24"/>
      <c r="T457" s="24"/>
      <c r="U457" s="24"/>
      <c r="V457" s="24"/>
    </row>
    <row r="458" spans="1:22" ht="89.25">
      <c r="A458" s="10" t="s">
        <v>2140</v>
      </c>
      <c r="B458" s="11" t="str">
        <f>IFERROR(VLOOKUP(A458,Systems!A:B,2,FALSE),"Various")</f>
        <v>Cargo inerting systems</v>
      </c>
      <c r="C458" s="11" t="s">
        <v>2160</v>
      </c>
      <c r="D458" s="11"/>
      <c r="E458" s="11"/>
      <c r="F458" s="24" t="s">
        <v>1412</v>
      </c>
      <c r="G458" s="38"/>
      <c r="H458" s="11" t="s">
        <v>2274</v>
      </c>
      <c r="I458" s="11" t="s">
        <v>2277</v>
      </c>
      <c r="J458" s="11"/>
      <c r="K458" s="11"/>
      <c r="L458" s="11"/>
      <c r="M458" s="11"/>
      <c r="N458" s="11"/>
      <c r="O458" s="11"/>
      <c r="P458" s="11"/>
      <c r="Q458" s="11"/>
      <c r="R458" s="11"/>
      <c r="S458" s="24"/>
      <c r="T458" s="24"/>
      <c r="U458" s="24"/>
      <c r="V458" s="24"/>
    </row>
    <row r="459" spans="1:22" ht="76.5">
      <c r="A459" s="10" t="s">
        <v>2140</v>
      </c>
      <c r="B459" s="11" t="str">
        <f>IFERROR(VLOOKUP(A459,Systems!A:B,2,FALSE),"Various")</f>
        <v>Cargo inerting systems</v>
      </c>
      <c r="C459" s="11" t="s">
        <v>2302</v>
      </c>
      <c r="D459" s="11"/>
      <c r="E459" s="11"/>
      <c r="F459" s="24" t="s">
        <v>1412</v>
      </c>
      <c r="G459" s="38"/>
      <c r="H459" s="11"/>
      <c r="I459" s="11" t="s">
        <v>2305</v>
      </c>
      <c r="J459" s="11"/>
      <c r="K459" s="11"/>
      <c r="L459" s="11"/>
      <c r="M459" s="11"/>
      <c r="N459" s="11"/>
      <c r="O459" s="11"/>
      <c r="P459" s="11"/>
      <c r="Q459" s="11"/>
      <c r="R459" s="11"/>
      <c r="S459" s="24"/>
      <c r="T459" s="24"/>
      <c r="U459" s="24"/>
      <c r="V459" s="24"/>
    </row>
    <row r="460" spans="1:22" ht="63.75">
      <c r="A460" s="10" t="s">
        <v>2140</v>
      </c>
      <c r="B460" s="11" t="str">
        <f>IFERROR(VLOOKUP(A460,Systems!A:B,2,FALSE),"Various")</f>
        <v>Cargo inerting systems</v>
      </c>
      <c r="C460" s="11" t="s">
        <v>2303</v>
      </c>
      <c r="D460" s="11"/>
      <c r="E460" s="11"/>
      <c r="F460" s="24" t="s">
        <v>1412</v>
      </c>
      <c r="G460" s="38"/>
      <c r="H460" s="11"/>
      <c r="I460" s="11" t="s">
        <v>2306</v>
      </c>
      <c r="J460" s="11"/>
      <c r="K460" s="11"/>
      <c r="L460" s="11"/>
      <c r="M460" s="11"/>
      <c r="N460" s="11"/>
      <c r="O460" s="11"/>
      <c r="P460" s="11"/>
      <c r="Q460" s="11"/>
      <c r="R460" s="11"/>
      <c r="S460" s="24"/>
      <c r="T460" s="24"/>
      <c r="U460" s="24"/>
      <c r="V460" s="24"/>
    </row>
    <row r="461" spans="1:22" ht="51">
      <c r="A461" s="10" t="s">
        <v>2140</v>
      </c>
      <c r="B461" s="11" t="str">
        <f>IFERROR(VLOOKUP(A461,Systems!A:B,2,FALSE),"Various")</f>
        <v>Cargo inerting systems</v>
      </c>
      <c r="C461" s="11" t="s">
        <v>2304</v>
      </c>
      <c r="D461" s="11"/>
      <c r="E461" s="11"/>
      <c r="F461" s="24" t="s">
        <v>1412</v>
      </c>
      <c r="G461" s="38"/>
      <c r="H461" s="11"/>
      <c r="I461" s="11" t="s">
        <v>2316</v>
      </c>
      <c r="J461" s="11"/>
      <c r="K461" s="11"/>
      <c r="L461" s="11"/>
      <c r="M461" s="11"/>
      <c r="N461" s="11"/>
      <c r="O461" s="11"/>
      <c r="P461" s="11"/>
      <c r="Q461" s="11"/>
      <c r="R461" s="11"/>
      <c r="S461" s="24"/>
      <c r="T461" s="24"/>
      <c r="U461" s="24"/>
      <c r="V461" s="24"/>
    </row>
    <row r="462" spans="1:22" ht="63.75">
      <c r="A462" s="10" t="s">
        <v>2140</v>
      </c>
      <c r="B462" s="11" t="str">
        <f>IFERROR(VLOOKUP(A462,Systems!A:B,2,FALSE),"Various")</f>
        <v>Cargo inerting systems</v>
      </c>
      <c r="C462" s="11" t="s">
        <v>2301</v>
      </c>
      <c r="D462" s="11"/>
      <c r="E462" s="11"/>
      <c r="F462" s="24" t="s">
        <v>1412</v>
      </c>
      <c r="G462" s="38"/>
      <c r="H462" s="11"/>
      <c r="I462" s="11" t="s">
        <v>2300</v>
      </c>
      <c r="J462" s="11"/>
      <c r="K462" s="11"/>
      <c r="L462" s="11"/>
      <c r="M462" s="11"/>
      <c r="N462" s="11"/>
      <c r="O462" s="11"/>
      <c r="P462" s="11"/>
      <c r="Q462" s="11"/>
      <c r="R462" s="11"/>
      <c r="S462" s="24"/>
      <c r="T462" s="24"/>
      <c r="U462" s="24"/>
      <c r="V462" s="24"/>
    </row>
    <row r="463" spans="1:22" ht="293.25">
      <c r="A463" s="10" t="s">
        <v>817</v>
      </c>
      <c r="B463" s="11" t="str">
        <f>IFERROR(VLOOKUP(A463,Systems!A:B,2,FALSE),"Various")</f>
        <v>Exhaust gas cleaning system</v>
      </c>
      <c r="C463" s="11" t="s">
        <v>2059</v>
      </c>
      <c r="D463" s="11"/>
      <c r="E463" s="11"/>
      <c r="F463" s="24" t="s">
        <v>1412</v>
      </c>
      <c r="G463" s="38"/>
      <c r="H463" s="11" t="s">
        <v>2058</v>
      </c>
      <c r="I463" s="11"/>
      <c r="J463" s="11"/>
      <c r="K463" s="11"/>
      <c r="L463" s="11"/>
      <c r="M463" s="11"/>
      <c r="N463" s="11"/>
      <c r="O463" s="11"/>
      <c r="P463" s="11"/>
      <c r="Q463" s="11"/>
      <c r="R463" s="11"/>
      <c r="S463" s="24"/>
      <c r="T463" s="24"/>
      <c r="U463" s="24" t="str">
        <f>IF(OR(NOT(H463=""),NOT(M463="")),"","x")</f>
        <v/>
      </c>
      <c r="V463" s="24"/>
    </row>
    <row r="464" spans="1:22" ht="38.25">
      <c r="A464" s="10" t="s">
        <v>242</v>
      </c>
      <c r="B464" s="11" t="str">
        <f>IFERROR(VLOOKUP(A464,Systems!A:B,2,FALSE),"Various")</f>
        <v>Sounding and de-aeration</v>
      </c>
      <c r="C464" s="11" t="s">
        <v>2311</v>
      </c>
      <c r="D464" s="11"/>
      <c r="E464" s="11"/>
      <c r="F464" s="24" t="s">
        <v>1412</v>
      </c>
      <c r="G464" s="38"/>
      <c r="H464" s="11" t="s">
        <v>2312</v>
      </c>
      <c r="I464" s="11"/>
      <c r="J464" s="11"/>
      <c r="K464" s="11"/>
      <c r="L464" s="11"/>
      <c r="M464" s="11"/>
      <c r="N464" s="11"/>
      <c r="O464" s="11"/>
      <c r="P464" s="11"/>
      <c r="Q464" s="11"/>
      <c r="R464" s="11"/>
      <c r="S464" s="24"/>
      <c r="T464" s="24"/>
      <c r="U464" s="24"/>
      <c r="V464" s="24"/>
    </row>
    <row r="465" spans="1:22" ht="89.25">
      <c r="A465" s="10" t="s">
        <v>817</v>
      </c>
      <c r="B465" s="11" t="str">
        <f>IFERROR(VLOOKUP(A465,Systems!A:B,2,FALSE),"Various")</f>
        <v>Exhaust gas cleaning system</v>
      </c>
      <c r="C465" s="11" t="s">
        <v>103</v>
      </c>
      <c r="D465" s="11"/>
      <c r="E465" s="11"/>
      <c r="F465" s="24" t="s">
        <v>1412</v>
      </c>
      <c r="G465" s="38"/>
      <c r="H465" s="11" t="s">
        <v>2060</v>
      </c>
      <c r="I465" s="11"/>
      <c r="J465" s="11"/>
      <c r="K465" s="11"/>
      <c r="L465" s="11"/>
      <c r="M465" s="11"/>
      <c r="N465" s="11"/>
      <c r="O465" s="11"/>
      <c r="P465" s="11"/>
      <c r="Q465" s="11"/>
      <c r="R465" s="11"/>
      <c r="S465" s="24"/>
      <c r="T465" s="24"/>
      <c r="U465" s="24" t="str">
        <f t="shared" ref="U465:U470" si="10">IF(OR(NOT(H465=""),NOT(M465="")),"","x")</f>
        <v/>
      </c>
      <c r="V465" s="24"/>
    </row>
    <row r="466" spans="1:22" ht="191.25">
      <c r="A466" s="10" t="s">
        <v>817</v>
      </c>
      <c r="B466" s="11" t="str">
        <f>IFERROR(VLOOKUP(A466,Systems!A:B,2,FALSE),"Various")</f>
        <v>Exhaust gas cleaning system</v>
      </c>
      <c r="C466" s="11" t="s">
        <v>473</v>
      </c>
      <c r="D466" s="11"/>
      <c r="E466" s="11"/>
      <c r="F466" s="24" t="s">
        <v>1412</v>
      </c>
      <c r="G466" s="38"/>
      <c r="H466" s="11" t="s">
        <v>2061</v>
      </c>
      <c r="I466" s="11"/>
      <c r="J466" s="11"/>
      <c r="K466" s="11"/>
      <c r="L466" s="11"/>
      <c r="M466" s="11"/>
      <c r="N466" s="11"/>
      <c r="O466" s="11"/>
      <c r="P466" s="11"/>
      <c r="Q466" s="11"/>
      <c r="R466" s="11"/>
      <c r="S466" s="24"/>
      <c r="T466" s="24"/>
      <c r="U466" s="24" t="str">
        <f t="shared" si="10"/>
        <v/>
      </c>
      <c r="V466" s="24"/>
    </row>
    <row r="467" spans="1:22" ht="38.25">
      <c r="A467" s="10" t="s">
        <v>157</v>
      </c>
      <c r="B467" s="11" t="str">
        <f>IFERROR(VLOOKUP(A467,Systems!A:B,2,FALSE),"Various")</f>
        <v>Tank arrangement</v>
      </c>
      <c r="C467" s="11" t="s">
        <v>72</v>
      </c>
      <c r="D467" s="11"/>
      <c r="E467" s="11"/>
      <c r="F467" s="24" t="s">
        <v>1412</v>
      </c>
      <c r="G467" s="38"/>
      <c r="H467" s="11" t="s">
        <v>498</v>
      </c>
      <c r="I467" s="11"/>
      <c r="J467" s="11"/>
      <c r="K467" s="11"/>
      <c r="L467" s="11"/>
      <c r="M467" s="11"/>
      <c r="N467" s="11"/>
      <c r="O467" s="11"/>
      <c r="P467" s="11" t="s">
        <v>498</v>
      </c>
      <c r="Q467" s="11"/>
      <c r="R467" s="11"/>
      <c r="S467" s="24"/>
      <c r="T467" s="24"/>
      <c r="U467" s="24" t="str">
        <f t="shared" si="10"/>
        <v/>
      </c>
      <c r="V467" s="24"/>
    </row>
    <row r="468" spans="1:22" ht="51">
      <c r="A468" s="10" t="s">
        <v>157</v>
      </c>
      <c r="B468" s="11" t="str">
        <f>IFERROR(VLOOKUP(A468,Systems!A:B,2,FALSE),"Various")</f>
        <v>Tank arrangement</v>
      </c>
      <c r="C468" s="11" t="s">
        <v>500</v>
      </c>
      <c r="D468" s="11"/>
      <c r="E468" s="11"/>
      <c r="F468" s="24" t="s">
        <v>1412</v>
      </c>
      <c r="G468" s="38"/>
      <c r="H468" s="11" t="s">
        <v>499</v>
      </c>
      <c r="I468" s="11"/>
      <c r="J468" s="11"/>
      <c r="K468" s="11"/>
      <c r="L468" s="11"/>
      <c r="M468" s="11"/>
      <c r="N468" s="11"/>
      <c r="O468" s="11"/>
      <c r="P468" s="11" t="s">
        <v>499</v>
      </c>
      <c r="Q468" s="11"/>
      <c r="R468" s="11"/>
      <c r="S468" s="24"/>
      <c r="T468" s="24"/>
      <c r="U468" s="24" t="str">
        <f t="shared" si="10"/>
        <v/>
      </c>
      <c r="V468" s="24"/>
    </row>
    <row r="469" spans="1:22" ht="331.5">
      <c r="A469" s="10" t="s">
        <v>224</v>
      </c>
      <c r="B469" s="11" t="str">
        <f>IFERROR(VLOOKUP(A469,Systems!A:B,2,FALSE),"Various")</f>
        <v>Bilge system</v>
      </c>
      <c r="C469" s="11" t="s">
        <v>1035</v>
      </c>
      <c r="D469" s="11"/>
      <c r="E469" s="11"/>
      <c r="F469" s="24" t="s">
        <v>1412</v>
      </c>
      <c r="G469" s="38"/>
      <c r="H469" s="11" t="s">
        <v>1060</v>
      </c>
      <c r="I469" s="11"/>
      <c r="J469" s="11"/>
      <c r="K469" s="11"/>
      <c r="L469" s="11"/>
      <c r="M469" s="11"/>
      <c r="N469" s="11"/>
      <c r="O469" s="11"/>
      <c r="P469" s="11"/>
      <c r="Q469" s="11"/>
      <c r="R469" s="11"/>
      <c r="S469" s="24"/>
      <c r="T469" s="24"/>
      <c r="U469" s="24" t="str">
        <f t="shared" si="10"/>
        <v/>
      </c>
      <c r="V469" s="24"/>
    </row>
    <row r="470" spans="1:22" ht="63.75">
      <c r="A470" s="10" t="s">
        <v>849</v>
      </c>
      <c r="B470" s="11" t="str">
        <f>IFERROR(VLOOKUP(A470,Systems!A:B,2,FALSE),"Various")</f>
        <v>Platforms / gratings</v>
      </c>
      <c r="C470" s="11" t="s">
        <v>73</v>
      </c>
      <c r="D470" s="11"/>
      <c r="E470" s="11"/>
      <c r="F470" s="24" t="s">
        <v>1412</v>
      </c>
      <c r="G470" s="38"/>
      <c r="H470" s="11" t="s">
        <v>268</v>
      </c>
      <c r="I470" s="11"/>
      <c r="J470" s="11"/>
      <c r="K470" s="11"/>
      <c r="L470" s="11"/>
      <c r="M470" s="11"/>
      <c r="N470" s="11"/>
      <c r="O470" s="11"/>
      <c r="P470" s="11" t="s">
        <v>268</v>
      </c>
      <c r="Q470" s="11"/>
      <c r="R470" s="11"/>
      <c r="S470" s="24"/>
      <c r="T470" s="24"/>
      <c r="U470" s="24" t="str">
        <f t="shared" si="10"/>
        <v/>
      </c>
      <c r="V470" s="24"/>
    </row>
    <row r="471" spans="1:22" ht="25.5">
      <c r="A471" s="10" t="s">
        <v>187</v>
      </c>
      <c r="B471" s="11" t="str">
        <f>IFERROR(VLOOKUP(A471,Systems!A:B,2,FALSE),"Various")</f>
        <v>Piping common</v>
      </c>
      <c r="C471" s="11" t="s">
        <v>74</v>
      </c>
      <c r="D471" s="11"/>
      <c r="E471" s="11"/>
      <c r="F471" s="24" t="s">
        <v>1412</v>
      </c>
      <c r="G471" s="38"/>
      <c r="H471" s="11" t="s">
        <v>311</v>
      </c>
      <c r="I471" s="11"/>
      <c r="J471" s="11"/>
      <c r="K471" s="11"/>
      <c r="L471" s="11"/>
      <c r="M471" s="11"/>
      <c r="N471" s="11"/>
      <c r="O471" s="11"/>
      <c r="P471" s="11" t="s">
        <v>311</v>
      </c>
      <c r="Q471" s="11"/>
      <c r="R471" s="11"/>
      <c r="S471" s="24"/>
      <c r="T471" s="24"/>
      <c r="U471" s="24"/>
      <c r="V471" s="24"/>
    </row>
    <row r="472" spans="1:22" ht="293.25">
      <c r="A472" s="10" t="s">
        <v>433</v>
      </c>
      <c r="B472" s="11" t="str">
        <f>IFERROR(VLOOKUP(A472,Systems!A:B,2,FALSE),"Various")</f>
        <v>Ventilation system</v>
      </c>
      <c r="C472" s="11" t="s">
        <v>75</v>
      </c>
      <c r="D472" s="11"/>
      <c r="E472" s="11"/>
      <c r="F472" s="24" t="s">
        <v>1412</v>
      </c>
      <c r="G472" s="38"/>
      <c r="H472" s="11" t="s">
        <v>1875</v>
      </c>
      <c r="I472" s="11"/>
      <c r="J472" s="11"/>
      <c r="K472" s="11"/>
      <c r="L472" s="11"/>
      <c r="M472" s="11" t="s">
        <v>908</v>
      </c>
      <c r="N472" s="11"/>
      <c r="O472" s="11"/>
      <c r="P472" s="11" t="s">
        <v>424</v>
      </c>
      <c r="Q472" s="11"/>
      <c r="R472" s="11"/>
      <c r="S472" s="24" t="s">
        <v>1305</v>
      </c>
      <c r="T472" s="24"/>
      <c r="U472" s="24"/>
      <c r="V472" s="24"/>
    </row>
    <row r="473" spans="1:22" ht="204">
      <c r="A473" s="10" t="s">
        <v>273</v>
      </c>
      <c r="B473" s="11" t="str">
        <f>IFERROR(VLOOKUP(A473,Systems!A:B,2,FALSE),"Various")</f>
        <v>Main machinery</v>
      </c>
      <c r="C473" s="11" t="s">
        <v>76</v>
      </c>
      <c r="D473" s="11"/>
      <c r="E473" s="11"/>
      <c r="F473" s="24" t="s">
        <v>1412</v>
      </c>
      <c r="G473" s="38"/>
      <c r="H473" s="11" t="s">
        <v>277</v>
      </c>
      <c r="I473" s="11"/>
      <c r="J473" s="11"/>
      <c r="K473" s="11"/>
      <c r="L473" s="11"/>
      <c r="M473" s="11"/>
      <c r="N473" s="11"/>
      <c r="O473" s="11"/>
      <c r="P473" s="11" t="s">
        <v>277</v>
      </c>
      <c r="Q473" s="11"/>
      <c r="R473" s="11"/>
      <c r="S473" s="24" t="s">
        <v>1305</v>
      </c>
      <c r="T473" s="24"/>
      <c r="U473" s="24"/>
      <c r="V473" s="24"/>
    </row>
    <row r="474" spans="1:22" ht="216.75">
      <c r="A474" s="10" t="s">
        <v>187</v>
      </c>
      <c r="B474" s="11" t="str">
        <f>IFERROR(VLOOKUP(A474,Systems!A:B,2,FALSE),"Various")</f>
        <v>Piping common</v>
      </c>
      <c r="C474" s="11" t="s">
        <v>77</v>
      </c>
      <c r="D474" s="11"/>
      <c r="E474" s="11"/>
      <c r="F474" s="24" t="s">
        <v>1412</v>
      </c>
      <c r="G474" s="38"/>
      <c r="H474" s="11" t="s">
        <v>252</v>
      </c>
      <c r="I474" s="11"/>
      <c r="J474" s="11"/>
      <c r="K474" s="11"/>
      <c r="L474" s="11"/>
      <c r="M474" s="11"/>
      <c r="N474" s="11"/>
      <c r="O474" s="11"/>
      <c r="P474" s="11" t="s">
        <v>252</v>
      </c>
      <c r="Q474" s="11"/>
      <c r="R474" s="11"/>
      <c r="S474" s="24" t="s">
        <v>30</v>
      </c>
      <c r="T474" s="24"/>
      <c r="U474" s="24"/>
      <c r="V474" s="24"/>
    </row>
    <row r="475" spans="1:22" ht="127.5">
      <c r="A475" s="10" t="s">
        <v>825</v>
      </c>
      <c r="B475" s="11" t="str">
        <f>IFERROR(VLOOKUP(A475,Systems!A:B,2,FALSE),"Various")</f>
        <v>Generator sets</v>
      </c>
      <c r="C475" s="11" t="s">
        <v>1724</v>
      </c>
      <c r="D475" s="11"/>
      <c r="E475" s="11"/>
      <c r="F475" s="24" t="s">
        <v>1412</v>
      </c>
      <c r="G475" s="38"/>
      <c r="H475" s="11" t="s">
        <v>1725</v>
      </c>
      <c r="I475" s="11"/>
      <c r="J475" s="11"/>
      <c r="K475" s="11"/>
      <c r="L475" s="11"/>
      <c r="M475" s="11"/>
      <c r="N475" s="11"/>
      <c r="O475" s="11"/>
      <c r="P475" s="11"/>
      <c r="Q475" s="11"/>
      <c r="R475" s="11"/>
      <c r="S475" s="24" t="s">
        <v>30</v>
      </c>
      <c r="T475" s="24"/>
      <c r="U475" s="24"/>
      <c r="V475" s="24"/>
    </row>
    <row r="476" spans="1:22" ht="114.75">
      <c r="A476" s="10" t="s">
        <v>825</v>
      </c>
      <c r="B476" s="11" t="str">
        <f>IFERROR(VLOOKUP(A476,Systems!A:B,2,FALSE),"Various")</f>
        <v>Generator sets</v>
      </c>
      <c r="C476" s="11" t="s">
        <v>1724</v>
      </c>
      <c r="D476" s="11"/>
      <c r="E476" s="11"/>
      <c r="F476" s="24" t="s">
        <v>1412</v>
      </c>
      <c r="G476" s="38"/>
      <c r="H476" s="11" t="s">
        <v>1726</v>
      </c>
      <c r="I476" s="11"/>
      <c r="J476" s="11"/>
      <c r="K476" s="11"/>
      <c r="L476" s="11"/>
      <c r="M476" s="11"/>
      <c r="N476" s="11"/>
      <c r="O476" s="11"/>
      <c r="P476" s="11"/>
      <c r="Q476" s="11"/>
      <c r="R476" s="11"/>
      <c r="S476" s="24" t="s">
        <v>30</v>
      </c>
      <c r="T476" s="24"/>
      <c r="U476" s="24"/>
      <c r="V476" s="24"/>
    </row>
    <row r="477" spans="1:22" ht="229.5">
      <c r="A477" s="10" t="s">
        <v>825</v>
      </c>
      <c r="B477" s="11" t="str">
        <f>IFERROR(VLOOKUP(A477,Systems!A:B,2,FALSE),"Various")</f>
        <v>Generator sets</v>
      </c>
      <c r="C477" s="11" t="s">
        <v>1724</v>
      </c>
      <c r="D477" s="11"/>
      <c r="E477" s="11"/>
      <c r="F477" s="24" t="s">
        <v>1412</v>
      </c>
      <c r="G477" s="38"/>
      <c r="H477" s="11" t="s">
        <v>1727</v>
      </c>
      <c r="I477" s="11"/>
      <c r="J477" s="11"/>
      <c r="K477" s="11"/>
      <c r="L477" s="11"/>
      <c r="M477" s="11"/>
      <c r="N477" s="11"/>
      <c r="O477" s="11"/>
      <c r="P477" s="11"/>
      <c r="Q477" s="11"/>
      <c r="R477" s="11"/>
      <c r="S477" s="24" t="s">
        <v>30</v>
      </c>
      <c r="T477" s="24"/>
      <c r="U477" s="24"/>
      <c r="V477" s="24"/>
    </row>
    <row r="478" spans="1:22" ht="102">
      <c r="A478" s="10" t="s">
        <v>825</v>
      </c>
      <c r="B478" s="11" t="str">
        <f>IFERROR(VLOOKUP(A478,Systems!A:B,2,FALSE),"Various")</f>
        <v>Generator sets</v>
      </c>
      <c r="C478" s="11" t="s">
        <v>1724</v>
      </c>
      <c r="D478" s="11"/>
      <c r="E478" s="11"/>
      <c r="F478" s="24" t="s">
        <v>1412</v>
      </c>
      <c r="G478" s="38"/>
      <c r="H478" s="11" t="s">
        <v>1723</v>
      </c>
      <c r="I478" s="11"/>
      <c r="J478" s="11"/>
      <c r="K478" s="11"/>
      <c r="L478" s="11"/>
      <c r="M478" s="11"/>
      <c r="N478" s="11"/>
      <c r="O478" s="11"/>
      <c r="P478" s="11"/>
      <c r="Q478" s="11"/>
      <c r="R478" s="11"/>
      <c r="S478" s="24" t="s">
        <v>30</v>
      </c>
      <c r="T478" s="24"/>
      <c r="U478" s="24"/>
      <c r="V478" s="24"/>
    </row>
    <row r="479" spans="1:22" ht="51">
      <c r="A479" s="10" t="s">
        <v>825</v>
      </c>
      <c r="B479" s="11" t="str">
        <f>IFERROR(VLOOKUP(A479,Systems!A:B,2,FALSE),"Various")</f>
        <v>Generator sets</v>
      </c>
      <c r="C479" s="11" t="s">
        <v>1724</v>
      </c>
      <c r="D479" s="11"/>
      <c r="E479" s="11"/>
      <c r="F479" s="24" t="s">
        <v>1412</v>
      </c>
      <c r="G479" s="38"/>
      <c r="H479" s="11" t="s">
        <v>1728</v>
      </c>
      <c r="I479" s="11"/>
      <c r="J479" s="11"/>
      <c r="K479" s="11"/>
      <c r="L479" s="11"/>
      <c r="M479" s="11"/>
      <c r="N479" s="11"/>
      <c r="O479" s="11"/>
      <c r="P479" s="11"/>
      <c r="Q479" s="11"/>
      <c r="R479" s="11"/>
      <c r="S479" s="24" t="s">
        <v>30</v>
      </c>
      <c r="T479" s="24"/>
      <c r="U479" s="24"/>
      <c r="V479" s="24"/>
    </row>
    <row r="480" spans="1:22" ht="216.75">
      <c r="A480" s="10" t="s">
        <v>854</v>
      </c>
      <c r="B480" s="11" t="str">
        <f>IFERROR(VLOOKUP(A480,Systems!A:B,2,FALSE),"Various")</f>
        <v>Propulsion engine system</v>
      </c>
      <c r="C480" s="11" t="s">
        <v>61</v>
      </c>
      <c r="D480" s="11"/>
      <c r="E480" s="11"/>
      <c r="F480" s="24" t="s">
        <v>1412</v>
      </c>
      <c r="G480" s="38"/>
      <c r="H480" s="11" t="s">
        <v>276</v>
      </c>
      <c r="I480" s="11"/>
      <c r="J480" s="11"/>
      <c r="K480" s="11"/>
      <c r="L480" s="11"/>
      <c r="M480" s="11"/>
      <c r="N480" s="11"/>
      <c r="O480" s="11"/>
      <c r="P480" s="11" t="s">
        <v>276</v>
      </c>
      <c r="Q480" s="11"/>
      <c r="R480" s="11"/>
      <c r="S480" s="24" t="s">
        <v>30</v>
      </c>
      <c r="T480" s="24"/>
      <c r="U480" s="24"/>
      <c r="V480" s="24"/>
    </row>
    <row r="481" spans="1:22" ht="140.25">
      <c r="A481" s="10" t="s">
        <v>180</v>
      </c>
      <c r="B481" s="11" t="str">
        <f>IFERROR(VLOOKUP(A481,Systems!A:B,2,FALSE),"Various")</f>
        <v>Dirty-oil system</v>
      </c>
      <c r="C481" s="11"/>
      <c r="D481" s="11"/>
      <c r="E481" s="11"/>
      <c r="F481" s="24" t="s">
        <v>1412</v>
      </c>
      <c r="G481" s="38"/>
      <c r="H481" s="11" t="s">
        <v>2051</v>
      </c>
      <c r="I481" s="11"/>
      <c r="J481" s="11"/>
      <c r="K481" s="11"/>
      <c r="L481" s="11"/>
      <c r="M481" s="11"/>
      <c r="N481" s="11"/>
      <c r="O481" s="11"/>
      <c r="P481" s="11"/>
      <c r="Q481" s="11"/>
      <c r="R481" s="11"/>
      <c r="S481" s="24" t="s">
        <v>30</v>
      </c>
      <c r="T481" s="24"/>
      <c r="U481" s="24"/>
      <c r="V481" s="24"/>
    </row>
    <row r="482" spans="1:22" ht="51">
      <c r="A482" s="10" t="s">
        <v>394</v>
      </c>
      <c r="B482" s="11" t="str">
        <f>IFERROR(VLOOKUP(A482,Systems!A:B,2,FALSE),"Various")</f>
        <v>Various</v>
      </c>
      <c r="C482" s="11" t="s">
        <v>395</v>
      </c>
      <c r="D482" s="11"/>
      <c r="E482" s="11"/>
      <c r="F482" s="24" t="s">
        <v>1412</v>
      </c>
      <c r="G482" s="38"/>
      <c r="H482" s="11" t="s">
        <v>397</v>
      </c>
      <c r="I482" s="11"/>
      <c r="J482" s="11"/>
      <c r="K482" s="11"/>
      <c r="L482" s="11"/>
      <c r="M482" s="11"/>
      <c r="N482" s="11"/>
      <c r="O482" s="11"/>
      <c r="P482" s="11" t="s">
        <v>397</v>
      </c>
      <c r="Q482" s="11"/>
      <c r="R482" s="11"/>
      <c r="S482" s="24" t="s">
        <v>30</v>
      </c>
      <c r="T482" s="24"/>
      <c r="U482" s="24"/>
      <c r="V482" s="24"/>
    </row>
    <row r="483" spans="1:22" ht="191.25">
      <c r="A483" s="10" t="s">
        <v>179</v>
      </c>
      <c r="B483" s="11" t="str">
        <f>IFERROR(VLOOKUP(A483,Systems!A:B,2,FALSE),"Various")</f>
        <v>Lubrication system</v>
      </c>
      <c r="C483" s="11" t="s">
        <v>396</v>
      </c>
      <c r="D483" s="11"/>
      <c r="E483" s="11"/>
      <c r="F483" s="24" t="s">
        <v>1412</v>
      </c>
      <c r="G483" s="38"/>
      <c r="H483" s="11" t="s">
        <v>398</v>
      </c>
      <c r="I483" s="11"/>
      <c r="J483" s="11"/>
      <c r="K483" s="11"/>
      <c r="L483" s="11"/>
      <c r="M483" s="11"/>
      <c r="N483" s="11"/>
      <c r="O483" s="11"/>
      <c r="P483" s="11" t="s">
        <v>398</v>
      </c>
      <c r="Q483" s="11"/>
      <c r="R483" s="11"/>
      <c r="S483" s="24" t="s">
        <v>30</v>
      </c>
      <c r="T483" s="24"/>
      <c r="U483" s="24"/>
      <c r="V483" s="24"/>
    </row>
    <row r="484" spans="1:22" ht="38.25">
      <c r="A484" s="10" t="s">
        <v>355</v>
      </c>
      <c r="B484" s="11" t="str">
        <f>IFERROR(VLOOKUP(A484,Systems!A:B,2,FALSE),"Various")</f>
        <v>Various</v>
      </c>
      <c r="C484" s="11" t="s">
        <v>1103</v>
      </c>
      <c r="D484" s="11"/>
      <c r="E484" s="11"/>
      <c r="F484" s="24" t="s">
        <v>1412</v>
      </c>
      <c r="G484" s="38"/>
      <c r="H484" s="11" t="s">
        <v>1546</v>
      </c>
      <c r="I484" s="11"/>
      <c r="J484" s="11"/>
      <c r="K484" s="11"/>
      <c r="L484" s="11"/>
      <c r="M484" s="11"/>
      <c r="N484" s="11"/>
      <c r="O484" s="11"/>
      <c r="P484" s="11" t="s">
        <v>353</v>
      </c>
      <c r="Q484" s="11"/>
      <c r="R484" s="11"/>
      <c r="S484" s="24" t="s">
        <v>30</v>
      </c>
      <c r="T484" s="24"/>
      <c r="U484" s="24"/>
      <c r="V484" s="24"/>
    </row>
    <row r="485" spans="1:22" ht="51">
      <c r="A485" s="10" t="s">
        <v>833</v>
      </c>
      <c r="B485" s="11" t="str">
        <f>IFERROR(VLOOKUP(A485,Systems!A:B,2,FALSE),"Various")</f>
        <v>Fuel supply system</v>
      </c>
      <c r="C485" s="11" t="s">
        <v>1104</v>
      </c>
      <c r="D485" s="11"/>
      <c r="E485" s="11"/>
      <c r="F485" s="24" t="s">
        <v>1412</v>
      </c>
      <c r="G485" s="38"/>
      <c r="H485" s="11" t="s">
        <v>1547</v>
      </c>
      <c r="I485" s="11"/>
      <c r="J485" s="11"/>
      <c r="K485" s="11"/>
      <c r="L485" s="11"/>
      <c r="M485" s="11"/>
      <c r="N485" s="11"/>
      <c r="O485" s="11"/>
      <c r="P485" s="11" t="s">
        <v>354</v>
      </c>
      <c r="Q485" s="11"/>
      <c r="R485" s="11"/>
      <c r="S485" s="24" t="s">
        <v>30</v>
      </c>
      <c r="T485" s="24"/>
      <c r="U485" s="24"/>
      <c r="V485" s="24"/>
    </row>
    <row r="486" spans="1:22" ht="318.75">
      <c r="A486" s="10" t="s">
        <v>833</v>
      </c>
      <c r="B486" s="11" t="str">
        <f>IFERROR(VLOOKUP(A486,Systems!A:B,2,FALSE),"Various")</f>
        <v>Fuel supply system</v>
      </c>
      <c r="C486" s="11" t="s">
        <v>60</v>
      </c>
      <c r="D486" s="11"/>
      <c r="E486" s="11"/>
      <c r="F486" s="24" t="s">
        <v>1412</v>
      </c>
      <c r="G486" s="38"/>
      <c r="H486" s="11" t="s">
        <v>1548</v>
      </c>
      <c r="I486" s="11"/>
      <c r="J486" s="11"/>
      <c r="K486" s="11"/>
      <c r="L486" s="11"/>
      <c r="M486" s="11"/>
      <c r="N486" s="11"/>
      <c r="O486" s="11"/>
      <c r="P486" s="11" t="s">
        <v>356</v>
      </c>
      <c r="Q486" s="11"/>
      <c r="R486" s="11"/>
      <c r="S486" s="24" t="s">
        <v>30</v>
      </c>
      <c r="T486" s="24" t="s">
        <v>30</v>
      </c>
      <c r="U486" s="24" t="str">
        <f>IF(OR(NOT(H486=""),NOT(M486="")),"","x")</f>
        <v/>
      </c>
      <c r="V486" s="24"/>
    </row>
    <row r="487" spans="1:22" ht="63.75">
      <c r="A487" s="10" t="s">
        <v>180</v>
      </c>
      <c r="B487" s="11" t="str">
        <f>IFERROR(VLOOKUP(A487,Systems!A:B,2,FALSE),"Various")</f>
        <v>Dirty-oil system</v>
      </c>
      <c r="C487" s="11" t="s">
        <v>411</v>
      </c>
      <c r="D487" s="11"/>
      <c r="E487" s="11"/>
      <c r="F487" s="24" t="s">
        <v>1412</v>
      </c>
      <c r="G487" s="38"/>
      <c r="H487" s="11" t="s">
        <v>2049</v>
      </c>
      <c r="I487" s="11"/>
      <c r="J487" s="11"/>
      <c r="K487" s="11"/>
      <c r="L487" s="11"/>
      <c r="M487" s="11" t="s">
        <v>414</v>
      </c>
      <c r="N487" s="11"/>
      <c r="O487" s="11"/>
      <c r="P487" s="11" t="s">
        <v>2048</v>
      </c>
      <c r="Q487" s="11"/>
      <c r="R487" s="11"/>
      <c r="S487" s="24" t="s">
        <v>30</v>
      </c>
      <c r="T487" s="24"/>
      <c r="U487" s="24" t="str">
        <f>IF(OR(NOT(H487=""),NOT(M487="")),"","x")</f>
        <v/>
      </c>
      <c r="V487" s="24"/>
    </row>
    <row r="488" spans="1:22" ht="127.5">
      <c r="A488" s="10" t="s">
        <v>815</v>
      </c>
      <c r="B488" s="11" t="str">
        <f>IFERROR(VLOOKUP(A488,Systems!A:B,2,FALSE),"Various")</f>
        <v>Exhaust system</v>
      </c>
      <c r="C488" s="11" t="s">
        <v>2124</v>
      </c>
      <c r="D488" s="11"/>
      <c r="E488" s="11"/>
      <c r="F488" s="24" t="s">
        <v>1412</v>
      </c>
      <c r="G488" s="38"/>
      <c r="H488" s="11" t="s">
        <v>2125</v>
      </c>
      <c r="I488" s="11"/>
      <c r="J488" s="11" t="s">
        <v>2126</v>
      </c>
      <c r="K488" s="11"/>
      <c r="L488" s="11"/>
      <c r="M488" s="11"/>
      <c r="N488" s="11"/>
      <c r="O488" s="11"/>
      <c r="P488" s="11" t="s">
        <v>438</v>
      </c>
      <c r="Q488" s="11"/>
      <c r="R488" s="11"/>
      <c r="S488" s="24" t="s">
        <v>30</v>
      </c>
      <c r="T488" s="24"/>
      <c r="U488" s="24" t="str">
        <f>IF(OR(NOT(H488=""),NOT(M488="")),"","x")</f>
        <v/>
      </c>
      <c r="V488" s="24"/>
    </row>
    <row r="489" spans="1:22" ht="25.5">
      <c r="A489" s="10" t="s">
        <v>168</v>
      </c>
      <c r="B489" s="11" t="str">
        <f>IFERROR(VLOOKUP(A489,Systems!A:B,2,FALSE),"Various")</f>
        <v>Switchboards &amp; components</v>
      </c>
      <c r="C489" s="11"/>
      <c r="D489" s="11"/>
      <c r="E489" s="11"/>
      <c r="F489" s="24" t="s">
        <v>1412</v>
      </c>
      <c r="G489" s="38"/>
      <c r="H489" s="11" t="s">
        <v>1464</v>
      </c>
      <c r="I489" s="11"/>
      <c r="J489" s="11"/>
      <c r="K489" s="11"/>
      <c r="L489" s="11"/>
      <c r="M489" s="11"/>
      <c r="N489" s="11"/>
      <c r="O489" s="11"/>
      <c r="P489" s="11"/>
      <c r="Q489" s="11"/>
      <c r="R489" s="11"/>
      <c r="S489" s="24" t="s">
        <v>30</v>
      </c>
      <c r="T489" s="24"/>
      <c r="U489" s="24" t="str">
        <f>IF(OR(NOT(H489=""),NOT(M489="")),"","x")</f>
        <v/>
      </c>
      <c r="V489" s="24"/>
    </row>
    <row r="490" spans="1:22" ht="38.25">
      <c r="A490" s="10" t="s">
        <v>433</v>
      </c>
      <c r="B490" s="11" t="str">
        <f>IFERROR(VLOOKUP(A490,Systems!A:B,2,FALSE),"Various")</f>
        <v>Ventilation system</v>
      </c>
      <c r="C490" s="11" t="s">
        <v>1413</v>
      </c>
      <c r="D490" s="11"/>
      <c r="E490" s="11"/>
      <c r="F490" s="24" t="s">
        <v>1412</v>
      </c>
      <c r="G490" s="38"/>
      <c r="H490" s="11" t="s">
        <v>1494</v>
      </c>
      <c r="I490" s="11"/>
      <c r="J490" s="11"/>
      <c r="K490" s="11"/>
      <c r="L490" s="11"/>
      <c r="M490" s="11"/>
      <c r="N490" s="11"/>
      <c r="O490" s="11"/>
      <c r="P490" s="11"/>
      <c r="Q490" s="11"/>
      <c r="R490" s="11"/>
      <c r="S490" s="24" t="s">
        <v>30</v>
      </c>
      <c r="T490" s="24"/>
      <c r="U490" s="24"/>
      <c r="V490" s="24"/>
    </row>
    <row r="491" spans="1:22" ht="242.25">
      <c r="A491" s="10" t="s">
        <v>433</v>
      </c>
      <c r="B491" s="11" t="str">
        <f>IFERROR(VLOOKUP(A491,Systems!A:B,2,FALSE),"Various")</f>
        <v>Ventilation system</v>
      </c>
      <c r="C491" s="11" t="s">
        <v>1422</v>
      </c>
      <c r="D491" s="11"/>
      <c r="E491" s="11"/>
      <c r="F491" s="24" t="s">
        <v>1412</v>
      </c>
      <c r="G491" s="38"/>
      <c r="H491" s="11" t="s">
        <v>1474</v>
      </c>
      <c r="I491" s="11"/>
      <c r="J491" s="11"/>
      <c r="K491" s="11"/>
      <c r="L491" s="11"/>
      <c r="M491" s="11"/>
      <c r="N491" s="11"/>
      <c r="O491" s="11"/>
      <c r="P491" s="11"/>
      <c r="Q491" s="11"/>
      <c r="R491" s="11"/>
      <c r="S491" s="24" t="s">
        <v>1305</v>
      </c>
      <c r="T491" s="24"/>
      <c r="U491" s="24"/>
      <c r="V491" s="24"/>
    </row>
    <row r="492" spans="1:22" ht="51">
      <c r="A492" s="10" t="s">
        <v>433</v>
      </c>
      <c r="B492" s="11" t="str">
        <f>IFERROR(VLOOKUP(A492,Systems!A:B,2,FALSE),"Various")</f>
        <v>Ventilation system</v>
      </c>
      <c r="C492" s="11" t="s">
        <v>1423</v>
      </c>
      <c r="D492" s="11"/>
      <c r="E492" s="11"/>
      <c r="F492" s="24" t="s">
        <v>1412</v>
      </c>
      <c r="G492" s="38"/>
      <c r="H492" s="11" t="s">
        <v>1495</v>
      </c>
      <c r="I492" s="11"/>
      <c r="J492" s="11"/>
      <c r="K492" s="11"/>
      <c r="L492" s="11"/>
      <c r="M492" s="11"/>
      <c r="N492" s="11"/>
      <c r="O492" s="11"/>
      <c r="P492" s="11"/>
      <c r="Q492" s="11"/>
      <c r="R492" s="11"/>
      <c r="S492" s="24" t="s">
        <v>30</v>
      </c>
      <c r="T492" s="24"/>
      <c r="U492" s="24"/>
      <c r="V492" s="24"/>
    </row>
    <row r="493" spans="1:22" ht="38.25">
      <c r="A493" s="10" t="s">
        <v>433</v>
      </c>
      <c r="B493" s="11" t="str">
        <f>IFERROR(VLOOKUP(A493,Systems!A:B,2,FALSE),"Various")</f>
        <v>Ventilation system</v>
      </c>
      <c r="C493" s="11" t="s">
        <v>1449</v>
      </c>
      <c r="D493" s="11"/>
      <c r="E493" s="11"/>
      <c r="F493" s="24" t="s">
        <v>1412</v>
      </c>
      <c r="G493" s="38"/>
      <c r="H493" s="11" t="s">
        <v>1475</v>
      </c>
      <c r="I493" s="11"/>
      <c r="J493" s="11"/>
      <c r="K493" s="11"/>
      <c r="L493" s="11"/>
      <c r="M493" s="11"/>
      <c r="N493" s="11"/>
      <c r="O493" s="11"/>
      <c r="P493" s="11"/>
      <c r="Q493" s="11"/>
      <c r="R493" s="11"/>
      <c r="S493" s="24" t="s">
        <v>30</v>
      </c>
      <c r="T493" s="24"/>
      <c r="U493" s="24"/>
      <c r="V493" s="24"/>
    </row>
    <row r="494" spans="1:22" ht="63.75">
      <c r="A494" s="10" t="s">
        <v>433</v>
      </c>
      <c r="B494" s="11" t="str">
        <f>IFERROR(VLOOKUP(A494,Systems!A:B,2,FALSE),"Various")</f>
        <v>Ventilation system</v>
      </c>
      <c r="C494" s="11" t="s">
        <v>1449</v>
      </c>
      <c r="D494" s="11"/>
      <c r="E494" s="11"/>
      <c r="F494" s="24" t="s">
        <v>1412</v>
      </c>
      <c r="G494" s="38"/>
      <c r="H494" s="11" t="s">
        <v>1873</v>
      </c>
      <c r="I494" s="11"/>
      <c r="J494" s="11"/>
      <c r="K494" s="11"/>
      <c r="L494" s="11"/>
      <c r="M494" s="11"/>
      <c r="N494" s="11"/>
      <c r="O494" s="11"/>
      <c r="P494" s="11"/>
      <c r="Q494" s="11"/>
      <c r="R494" s="11"/>
      <c r="S494" s="24" t="s">
        <v>1305</v>
      </c>
      <c r="T494" s="24"/>
      <c r="U494" s="24"/>
      <c r="V494" s="24"/>
    </row>
    <row r="495" spans="1:22" ht="140.25">
      <c r="A495" s="10" t="s">
        <v>433</v>
      </c>
      <c r="B495" s="11" t="str">
        <f>IFERROR(VLOOKUP(A495,Systems!A:B,2,FALSE),"Various")</f>
        <v>Ventilation system</v>
      </c>
      <c r="C495" s="11" t="s">
        <v>1449</v>
      </c>
      <c r="D495" s="11"/>
      <c r="E495" s="11"/>
      <c r="F495" s="24" t="s">
        <v>1412</v>
      </c>
      <c r="G495" s="38"/>
      <c r="H495" s="11" t="s">
        <v>1476</v>
      </c>
      <c r="I495" s="11"/>
      <c r="J495" s="11"/>
      <c r="K495" s="11"/>
      <c r="L495" s="11"/>
      <c r="M495" s="11"/>
      <c r="N495" s="11"/>
      <c r="O495" s="11"/>
      <c r="P495" s="11"/>
      <c r="Q495" s="11"/>
      <c r="R495" s="11"/>
      <c r="S495" s="24" t="s">
        <v>30</v>
      </c>
      <c r="T495" s="24"/>
      <c r="U495" s="24" t="str">
        <f t="shared" ref="U495:U500" si="11">IF(OR(NOT(H495=""),NOT(M495="")),"","x")</f>
        <v/>
      </c>
      <c r="V495" s="24"/>
    </row>
    <row r="496" spans="1:22" ht="191.25">
      <c r="A496" s="10" t="s">
        <v>433</v>
      </c>
      <c r="B496" s="11" t="str">
        <f>IFERROR(VLOOKUP(A496,Systems!A:B,2,FALSE),"Various")</f>
        <v>Ventilation system</v>
      </c>
      <c r="C496" s="11" t="s">
        <v>1822</v>
      </c>
      <c r="D496" s="11"/>
      <c r="E496" s="11"/>
      <c r="F496" s="24" t="s">
        <v>1412</v>
      </c>
      <c r="G496" s="38"/>
      <c r="H496" s="11" t="s">
        <v>1477</v>
      </c>
      <c r="I496" s="11"/>
      <c r="J496" s="11"/>
      <c r="K496" s="11"/>
      <c r="L496" s="11"/>
      <c r="M496" s="11"/>
      <c r="N496" s="11"/>
      <c r="O496" s="11"/>
      <c r="P496" s="11"/>
      <c r="Q496" s="11"/>
      <c r="R496" s="11"/>
      <c r="S496" s="24" t="s">
        <v>30</v>
      </c>
      <c r="T496" s="24"/>
      <c r="U496" s="24" t="str">
        <f t="shared" si="11"/>
        <v/>
      </c>
      <c r="V496" s="24"/>
    </row>
    <row r="497" spans="1:22" ht="114.75">
      <c r="A497" s="10" t="s">
        <v>433</v>
      </c>
      <c r="B497" s="11" t="str">
        <f>IFERROR(VLOOKUP(A497,Systems!A:B,2,FALSE),"Various")</f>
        <v>Ventilation system</v>
      </c>
      <c r="C497" s="11" t="s">
        <v>1824</v>
      </c>
      <c r="D497" s="11"/>
      <c r="E497" s="11"/>
      <c r="F497" s="24" t="s">
        <v>1412</v>
      </c>
      <c r="G497" s="38"/>
      <c r="H497" s="11" t="s">
        <v>1823</v>
      </c>
      <c r="I497" s="11"/>
      <c r="J497" s="11"/>
      <c r="K497" s="11"/>
      <c r="L497" s="11"/>
      <c r="M497" s="11"/>
      <c r="N497" s="11"/>
      <c r="O497" s="11"/>
      <c r="P497" s="11"/>
      <c r="Q497" s="11"/>
      <c r="R497" s="11"/>
      <c r="S497" s="24" t="s">
        <v>30</v>
      </c>
      <c r="T497" s="24"/>
      <c r="U497" s="24" t="str">
        <f t="shared" si="11"/>
        <v/>
      </c>
      <c r="V497" s="24"/>
    </row>
    <row r="498" spans="1:22" ht="38.25">
      <c r="A498" s="10" t="s">
        <v>821</v>
      </c>
      <c r="B498" s="11" t="str">
        <f>IFERROR(VLOOKUP(A498,Systems!A:B,2,FALSE),"Various")</f>
        <v>Cable trays and penetrations</v>
      </c>
      <c r="C498" s="11" t="s">
        <v>1435</v>
      </c>
      <c r="D498" s="11"/>
      <c r="E498" s="11"/>
      <c r="F498" s="24" t="s">
        <v>1064</v>
      </c>
      <c r="G498" s="38"/>
      <c r="H498" s="11" t="s">
        <v>1522</v>
      </c>
      <c r="I498" s="11"/>
      <c r="J498" s="11"/>
      <c r="K498" s="11"/>
      <c r="L498" s="11"/>
      <c r="M498" s="11"/>
      <c r="N498" s="11"/>
      <c r="O498" s="11"/>
      <c r="P498" s="11"/>
      <c r="Q498" s="11"/>
      <c r="R498" s="11"/>
      <c r="S498" s="24" t="s">
        <v>30</v>
      </c>
      <c r="T498" s="24"/>
      <c r="U498" s="24" t="str">
        <f t="shared" si="11"/>
        <v/>
      </c>
      <c r="V498" s="24"/>
    </row>
    <row r="499" spans="1:22" ht="127.5">
      <c r="A499" s="10" t="s">
        <v>1241</v>
      </c>
      <c r="B499" s="11" t="str">
        <f>IFERROR(VLOOKUP(A499,Systems!A:B,2,FALSE),"Various")</f>
        <v>Various</v>
      </c>
      <c r="C499" s="11" t="s">
        <v>1240</v>
      </c>
      <c r="D499" s="11"/>
      <c r="E499" s="11"/>
      <c r="F499" s="24" t="s">
        <v>1064</v>
      </c>
      <c r="G499" s="38"/>
      <c r="H499" s="11" t="s">
        <v>1523</v>
      </c>
      <c r="I499" s="11"/>
      <c r="J499" s="11"/>
      <c r="K499" s="11"/>
      <c r="L499" s="11"/>
      <c r="M499" s="11"/>
      <c r="N499" s="11"/>
      <c r="O499" s="11"/>
      <c r="P499" s="11"/>
      <c r="Q499" s="11"/>
      <c r="R499" s="11"/>
      <c r="S499" s="24"/>
      <c r="T499" s="24"/>
      <c r="U499" s="24" t="str">
        <f t="shared" si="11"/>
        <v/>
      </c>
      <c r="V499" s="24"/>
    </row>
    <row r="500" spans="1:22" ht="63.75">
      <c r="A500" s="10" t="s">
        <v>814</v>
      </c>
      <c r="B500" s="11" t="str">
        <f>IFERROR(VLOOKUP(A500,Systems!A:B,2,FALSE),"Various")</f>
        <v>Fixed internal fifi system</v>
      </c>
      <c r="C500" s="11" t="s">
        <v>1242</v>
      </c>
      <c r="D500" s="11"/>
      <c r="E500" s="11"/>
      <c r="F500" s="24" t="s">
        <v>1064</v>
      </c>
      <c r="G500" s="38"/>
      <c r="H500" s="11" t="s">
        <v>1524</v>
      </c>
      <c r="I500" s="11"/>
      <c r="J500" s="11"/>
      <c r="K500" s="11"/>
      <c r="L500" s="11"/>
      <c r="M500" s="11"/>
      <c r="N500" s="11"/>
      <c r="O500" s="11"/>
      <c r="P500" s="11"/>
      <c r="Q500" s="11"/>
      <c r="R500" s="11"/>
      <c r="S500" s="24"/>
      <c r="T500" s="24"/>
      <c r="U500" s="24" t="str">
        <f t="shared" si="11"/>
        <v/>
      </c>
      <c r="V500" s="24"/>
    </row>
    <row r="501" spans="1:22" ht="140.25">
      <c r="A501" s="10" t="s">
        <v>173</v>
      </c>
      <c r="B501" s="11" t="str">
        <f>IFERROR(VLOOKUP(A501,Systems!A:B,2,FALSE),"Various")</f>
        <v>Deckwash / internal fifi system</v>
      </c>
      <c r="C501" s="11" t="s">
        <v>1955</v>
      </c>
      <c r="D501" s="11"/>
      <c r="E501" s="11"/>
      <c r="F501" s="24" t="s">
        <v>1064</v>
      </c>
      <c r="G501" s="38"/>
      <c r="H501" s="11" t="s">
        <v>1957</v>
      </c>
      <c r="I501" s="11"/>
      <c r="J501" s="11"/>
      <c r="K501" s="11"/>
      <c r="L501" s="11"/>
      <c r="M501" s="11"/>
      <c r="N501" s="11"/>
      <c r="O501" s="11"/>
      <c r="P501" s="11"/>
      <c r="Q501" s="11"/>
      <c r="R501" s="11"/>
      <c r="S501" s="24" t="s">
        <v>30</v>
      </c>
      <c r="T501" s="24"/>
      <c r="U501" s="24"/>
      <c r="V501" s="24"/>
    </row>
    <row r="502" spans="1:22" ht="127.5">
      <c r="A502" s="10" t="s">
        <v>173</v>
      </c>
      <c r="B502" s="11" t="str">
        <f>IFERROR(VLOOKUP(A502,Systems!A:B,2,FALSE),"Various")</f>
        <v>Deckwash / internal fifi system</v>
      </c>
      <c r="C502" s="11" t="s">
        <v>1954</v>
      </c>
      <c r="D502" s="11"/>
      <c r="E502" s="11"/>
      <c r="F502" s="24" t="s">
        <v>1064</v>
      </c>
      <c r="G502" s="38"/>
      <c r="H502" s="11" t="s">
        <v>1956</v>
      </c>
      <c r="I502" s="11"/>
      <c r="J502" s="11"/>
      <c r="K502" s="11"/>
      <c r="L502" s="11"/>
      <c r="M502" s="11"/>
      <c r="N502" s="11"/>
      <c r="O502" s="11"/>
      <c r="P502" s="11"/>
      <c r="Q502" s="11"/>
      <c r="R502" s="11"/>
      <c r="S502" s="24"/>
      <c r="T502" s="24"/>
      <c r="U502" s="24"/>
      <c r="V502" s="24"/>
    </row>
    <row r="503" spans="1:22" ht="140.25">
      <c r="A503" s="10" t="s">
        <v>433</v>
      </c>
      <c r="B503" s="11" t="str">
        <f>IFERROR(VLOOKUP(A503,Systems!A:B,2,FALSE),"Various")</f>
        <v>Ventilation system</v>
      </c>
      <c r="C503" s="11" t="s">
        <v>1831</v>
      </c>
      <c r="D503" s="11" t="s">
        <v>2394</v>
      </c>
      <c r="E503" s="11"/>
      <c r="F503" s="24" t="s">
        <v>1064</v>
      </c>
      <c r="G503" s="38"/>
      <c r="H503" s="11" t="s">
        <v>1832</v>
      </c>
      <c r="I503" s="11"/>
      <c r="J503" s="11"/>
      <c r="K503" s="11"/>
      <c r="L503" s="11"/>
      <c r="M503" s="11"/>
      <c r="N503" s="11"/>
      <c r="O503" s="11"/>
      <c r="P503" s="11"/>
      <c r="Q503" s="11"/>
      <c r="R503" s="11"/>
      <c r="S503" s="24" t="s">
        <v>30</v>
      </c>
      <c r="T503" s="24" t="s">
        <v>30</v>
      </c>
      <c r="U503" s="24"/>
      <c r="V503" s="24"/>
    </row>
    <row r="504" spans="1:22" ht="229.5">
      <c r="A504" s="10" t="s">
        <v>433</v>
      </c>
      <c r="B504" s="11" t="str">
        <f>IFERROR(VLOOKUP(A504,Systems!A:B,2,FALSE),"Various")</f>
        <v>Ventilation system</v>
      </c>
      <c r="C504" s="11" t="s">
        <v>1833</v>
      </c>
      <c r="D504" s="11"/>
      <c r="E504" s="11"/>
      <c r="F504" s="24" t="s">
        <v>1064</v>
      </c>
      <c r="G504" s="38"/>
      <c r="H504" s="11" t="s">
        <v>1834</v>
      </c>
      <c r="I504" s="11"/>
      <c r="J504" s="11"/>
      <c r="K504" s="11"/>
      <c r="L504" s="11"/>
      <c r="M504" s="11"/>
      <c r="N504" s="11"/>
      <c r="O504" s="11"/>
      <c r="P504" s="11"/>
      <c r="Q504" s="11"/>
      <c r="R504" s="11"/>
      <c r="S504" s="24" t="s">
        <v>30</v>
      </c>
      <c r="T504" s="24" t="s">
        <v>30</v>
      </c>
      <c r="U504" s="24"/>
      <c r="V504" s="24"/>
    </row>
    <row r="505" spans="1:22" ht="140.25">
      <c r="A505" s="10" t="s">
        <v>433</v>
      </c>
      <c r="B505" s="11" t="str">
        <f>IFERROR(VLOOKUP(A505,Systems!A:B,2,FALSE),"Various")</f>
        <v>Ventilation system</v>
      </c>
      <c r="C505" s="11" t="s">
        <v>1838</v>
      </c>
      <c r="D505" s="11" t="s">
        <v>2394</v>
      </c>
      <c r="E505" s="11"/>
      <c r="F505" s="24" t="s">
        <v>1064</v>
      </c>
      <c r="G505" s="38"/>
      <c r="H505" s="11" t="s">
        <v>1839</v>
      </c>
      <c r="I505" s="11"/>
      <c r="J505" s="11"/>
      <c r="K505" s="11"/>
      <c r="L505" s="11"/>
      <c r="M505" s="11"/>
      <c r="N505" s="11"/>
      <c r="O505" s="11"/>
      <c r="P505" s="11"/>
      <c r="Q505" s="11"/>
      <c r="R505" s="11"/>
      <c r="S505" s="24" t="s">
        <v>30</v>
      </c>
      <c r="T505" s="24"/>
      <c r="U505" s="24"/>
      <c r="V505" s="24"/>
    </row>
    <row r="506" spans="1:22" ht="267.75">
      <c r="A506" s="10" t="s">
        <v>433</v>
      </c>
      <c r="B506" s="11" t="str">
        <f>IFERROR(VLOOKUP(A506,Systems!A:B,2,FALSE),"Various")</f>
        <v>Ventilation system</v>
      </c>
      <c r="C506" s="11" t="s">
        <v>1846</v>
      </c>
      <c r="D506" s="11" t="s">
        <v>2394</v>
      </c>
      <c r="E506" s="11"/>
      <c r="F506" s="24" t="s">
        <v>1064</v>
      </c>
      <c r="G506" s="38"/>
      <c r="H506" s="11" t="s">
        <v>1852</v>
      </c>
      <c r="I506" s="11"/>
      <c r="J506" s="11"/>
      <c r="K506" s="11"/>
      <c r="L506" s="11"/>
      <c r="M506" s="11"/>
      <c r="N506" s="11"/>
      <c r="O506" s="11"/>
      <c r="P506" s="11"/>
      <c r="Q506" s="11"/>
      <c r="R506" s="11"/>
      <c r="S506" s="24" t="s">
        <v>30</v>
      </c>
      <c r="T506" s="24" t="s">
        <v>30</v>
      </c>
      <c r="U506" s="24"/>
      <c r="V506" s="24"/>
    </row>
    <row r="507" spans="1:22" ht="127.5">
      <c r="A507" s="10" t="s">
        <v>433</v>
      </c>
      <c r="B507" s="11" t="str">
        <f>IFERROR(VLOOKUP(A507,Systems!A:B,2,FALSE),"Various")</f>
        <v>Ventilation system</v>
      </c>
      <c r="C507" s="11" t="s">
        <v>1846</v>
      </c>
      <c r="D507" s="11"/>
      <c r="E507" s="11"/>
      <c r="F507" s="24" t="s">
        <v>1064</v>
      </c>
      <c r="G507" s="38"/>
      <c r="H507" s="11" t="s">
        <v>1847</v>
      </c>
      <c r="I507" s="11"/>
      <c r="J507" s="11"/>
      <c r="K507" s="11"/>
      <c r="L507" s="11"/>
      <c r="M507" s="11"/>
      <c r="N507" s="11"/>
      <c r="O507" s="11"/>
      <c r="P507" s="11"/>
      <c r="Q507" s="11"/>
      <c r="R507" s="11"/>
      <c r="S507" s="24"/>
      <c r="T507" s="24"/>
      <c r="U507" s="24"/>
      <c r="V507" s="24"/>
    </row>
    <row r="508" spans="1:22" ht="76.5">
      <c r="A508" s="10" t="s">
        <v>433</v>
      </c>
      <c r="B508" s="11" t="str">
        <f>IFERROR(VLOOKUP(A508,Systems!A:B,2,FALSE),"Various")</f>
        <v>Ventilation system</v>
      </c>
      <c r="C508" s="11" t="s">
        <v>1846</v>
      </c>
      <c r="D508" s="11" t="s">
        <v>2394</v>
      </c>
      <c r="E508" s="11"/>
      <c r="F508" s="24" t="s">
        <v>1064</v>
      </c>
      <c r="G508" s="38"/>
      <c r="H508" s="11" t="s">
        <v>1853</v>
      </c>
      <c r="I508" s="11"/>
      <c r="J508" s="11"/>
      <c r="K508" s="11"/>
      <c r="L508" s="11"/>
      <c r="M508" s="11"/>
      <c r="N508" s="11"/>
      <c r="O508" s="11"/>
      <c r="P508" s="11"/>
      <c r="Q508" s="11"/>
      <c r="R508" s="11"/>
      <c r="S508" s="24" t="s">
        <v>30</v>
      </c>
      <c r="T508" s="24" t="s">
        <v>30</v>
      </c>
      <c r="U508" s="24"/>
      <c r="V508" s="24"/>
    </row>
    <row r="509" spans="1:22" ht="51">
      <c r="A509" s="10" t="s">
        <v>433</v>
      </c>
      <c r="B509" s="11" t="str">
        <f>IFERROR(VLOOKUP(A509,Systems!A:B,2,FALSE),"Various")</f>
        <v>Ventilation system</v>
      </c>
      <c r="C509" s="11" t="s">
        <v>1846</v>
      </c>
      <c r="D509" s="11"/>
      <c r="E509" s="11"/>
      <c r="F509" s="24" t="s">
        <v>1064</v>
      </c>
      <c r="G509" s="38"/>
      <c r="H509" s="11" t="s">
        <v>1848</v>
      </c>
      <c r="I509" s="11"/>
      <c r="J509" s="11"/>
      <c r="K509" s="11"/>
      <c r="L509" s="11"/>
      <c r="M509" s="11"/>
      <c r="N509" s="11"/>
      <c r="O509" s="11"/>
      <c r="P509" s="11"/>
      <c r="Q509" s="11"/>
      <c r="R509" s="11"/>
      <c r="S509" s="24" t="s">
        <v>30</v>
      </c>
      <c r="T509" s="24"/>
      <c r="U509" s="24"/>
      <c r="V509" s="24"/>
    </row>
    <row r="510" spans="1:22" ht="63.75">
      <c r="A510" s="10" t="s">
        <v>433</v>
      </c>
      <c r="B510" s="11" t="str">
        <f>IFERROR(VLOOKUP(A510,Systems!A:B,2,FALSE),"Various")</f>
        <v>Ventilation system</v>
      </c>
      <c r="C510" s="11" t="s">
        <v>1846</v>
      </c>
      <c r="D510" s="11"/>
      <c r="E510" s="11"/>
      <c r="F510" s="24" t="s">
        <v>1064</v>
      </c>
      <c r="G510" s="38"/>
      <c r="H510" s="11" t="s">
        <v>1849</v>
      </c>
      <c r="I510" s="11"/>
      <c r="J510" s="11"/>
      <c r="K510" s="11"/>
      <c r="L510" s="11"/>
      <c r="M510" s="11"/>
      <c r="N510" s="11"/>
      <c r="O510" s="11"/>
      <c r="P510" s="11"/>
      <c r="Q510" s="11"/>
      <c r="R510" s="11"/>
      <c r="S510" s="24"/>
      <c r="T510" s="24"/>
      <c r="U510" s="24"/>
      <c r="V510" s="24"/>
    </row>
    <row r="511" spans="1:22" ht="51">
      <c r="A511" s="10" t="s">
        <v>433</v>
      </c>
      <c r="B511" s="11" t="str">
        <f>IFERROR(VLOOKUP(A511,Systems!A:B,2,FALSE),"Various")</f>
        <v>Ventilation system</v>
      </c>
      <c r="C511" s="11" t="s">
        <v>1846</v>
      </c>
      <c r="D511" s="11"/>
      <c r="E511" s="11"/>
      <c r="F511" s="24" t="s">
        <v>1064</v>
      </c>
      <c r="G511" s="38"/>
      <c r="H511" s="11" t="s">
        <v>1850</v>
      </c>
      <c r="I511" s="11"/>
      <c r="J511" s="11"/>
      <c r="K511" s="11"/>
      <c r="L511" s="11"/>
      <c r="M511" s="11"/>
      <c r="N511" s="11"/>
      <c r="O511" s="11"/>
      <c r="P511" s="11"/>
      <c r="Q511" s="11"/>
      <c r="R511" s="11"/>
      <c r="S511" s="24"/>
      <c r="T511" s="24"/>
      <c r="U511" s="24"/>
      <c r="V511" s="24"/>
    </row>
    <row r="512" spans="1:22" ht="51">
      <c r="A512" s="10" t="s">
        <v>433</v>
      </c>
      <c r="B512" s="11" t="str">
        <f>IFERROR(VLOOKUP(A512,Systems!A:B,2,FALSE),"Various")</f>
        <v>Ventilation system</v>
      </c>
      <c r="C512" s="11" t="s">
        <v>1846</v>
      </c>
      <c r="D512" s="11"/>
      <c r="E512" s="11"/>
      <c r="F512" s="24" t="s">
        <v>1064</v>
      </c>
      <c r="G512" s="38"/>
      <c r="H512" s="11" t="s">
        <v>1851</v>
      </c>
      <c r="I512" s="11"/>
      <c r="J512" s="11"/>
      <c r="K512" s="11"/>
      <c r="L512" s="11"/>
      <c r="M512" s="11"/>
      <c r="N512" s="11"/>
      <c r="O512" s="11"/>
      <c r="P512" s="11"/>
      <c r="Q512" s="11"/>
      <c r="R512" s="11"/>
      <c r="S512" s="24"/>
      <c r="T512" s="24"/>
      <c r="U512" s="24"/>
      <c r="V512" s="24"/>
    </row>
    <row r="513" spans="1:22" ht="140.25">
      <c r="A513" s="10" t="s">
        <v>433</v>
      </c>
      <c r="B513" s="11" t="str">
        <f>IFERROR(VLOOKUP(A513,Systems!A:B,2,FALSE),"Various")</f>
        <v>Ventilation system</v>
      </c>
      <c r="C513" s="11" t="s">
        <v>1845</v>
      </c>
      <c r="D513" s="11"/>
      <c r="E513" s="11"/>
      <c r="F513" s="24" t="s">
        <v>1064</v>
      </c>
      <c r="G513" s="38"/>
      <c r="H513" s="11" t="s">
        <v>1844</v>
      </c>
      <c r="I513" s="11"/>
      <c r="J513" s="11"/>
      <c r="K513" s="11"/>
      <c r="L513" s="11"/>
      <c r="M513" s="11"/>
      <c r="N513" s="11"/>
      <c r="O513" s="11"/>
      <c r="P513" s="11"/>
      <c r="Q513" s="11"/>
      <c r="R513" s="11"/>
      <c r="S513" s="24"/>
      <c r="T513" s="24"/>
      <c r="U513" s="24"/>
      <c r="V513" s="24"/>
    </row>
    <row r="514" spans="1:22" ht="63.75">
      <c r="A514" s="10" t="s">
        <v>433</v>
      </c>
      <c r="B514" s="11" t="str">
        <f>IFERROR(VLOOKUP(A514,Systems!A:B,2,FALSE),"Various")</f>
        <v>Ventilation system</v>
      </c>
      <c r="C514" s="11" t="s">
        <v>1845</v>
      </c>
      <c r="D514" s="11"/>
      <c r="E514" s="11"/>
      <c r="F514" s="24" t="s">
        <v>1064</v>
      </c>
      <c r="G514" s="38"/>
      <c r="H514" s="11" t="s">
        <v>1843</v>
      </c>
      <c r="I514" s="11"/>
      <c r="J514" s="11"/>
      <c r="K514" s="11"/>
      <c r="L514" s="11"/>
      <c r="M514" s="11"/>
      <c r="N514" s="11"/>
      <c r="O514" s="11"/>
      <c r="P514" s="11"/>
      <c r="Q514" s="11"/>
      <c r="R514" s="11"/>
      <c r="S514" s="24"/>
      <c r="T514" s="24"/>
      <c r="U514" s="24"/>
      <c r="V514" s="24"/>
    </row>
    <row r="515" spans="1:22" ht="63.75">
      <c r="A515" s="10" t="s">
        <v>433</v>
      </c>
      <c r="B515" s="11" t="str">
        <f>IFERROR(VLOOKUP(A515,Systems!A:B,2,FALSE),"Various")</f>
        <v>Ventilation system</v>
      </c>
      <c r="C515" s="11" t="s">
        <v>1845</v>
      </c>
      <c r="D515" s="11"/>
      <c r="E515" s="11"/>
      <c r="F515" s="24" t="s">
        <v>1064</v>
      </c>
      <c r="G515" s="38"/>
      <c r="H515" s="11" t="s">
        <v>1842</v>
      </c>
      <c r="I515" s="11"/>
      <c r="J515" s="11"/>
      <c r="K515" s="11"/>
      <c r="L515" s="11"/>
      <c r="M515" s="11"/>
      <c r="N515" s="11"/>
      <c r="O515" s="11"/>
      <c r="P515" s="11"/>
      <c r="Q515" s="11"/>
      <c r="R515" s="11"/>
      <c r="S515" s="24"/>
      <c r="T515" s="24"/>
      <c r="U515" s="24"/>
      <c r="V515" s="24"/>
    </row>
    <row r="516" spans="1:22" ht="344.25">
      <c r="A516" s="10" t="s">
        <v>433</v>
      </c>
      <c r="B516" s="11" t="str">
        <f>IFERROR(VLOOKUP(A516,Systems!A:B,2,FALSE),"Various")</f>
        <v>Ventilation system</v>
      </c>
      <c r="C516" s="11" t="s">
        <v>1845</v>
      </c>
      <c r="D516" s="11" t="s">
        <v>2395</v>
      </c>
      <c r="E516" s="11"/>
      <c r="F516" s="24" t="s">
        <v>1064</v>
      </c>
      <c r="G516" s="38"/>
      <c r="H516" s="11" t="s">
        <v>1840</v>
      </c>
      <c r="I516" s="11"/>
      <c r="J516" s="11"/>
      <c r="K516" s="11"/>
      <c r="L516" s="11" t="s">
        <v>2396</v>
      </c>
      <c r="M516" s="11"/>
      <c r="N516" s="11"/>
      <c r="O516" s="11"/>
      <c r="P516" s="11"/>
      <c r="Q516" s="11"/>
      <c r="R516" s="11"/>
      <c r="S516" s="24"/>
      <c r="T516" s="24"/>
      <c r="U516" s="24"/>
      <c r="V516" s="24"/>
    </row>
    <row r="517" spans="1:22" ht="89.25">
      <c r="A517" s="10" t="s">
        <v>433</v>
      </c>
      <c r="B517" s="11" t="str">
        <f>IFERROR(VLOOKUP(A517,Systems!A:B,2,FALSE),"Various")</f>
        <v>Ventilation system</v>
      </c>
      <c r="C517" s="11" t="s">
        <v>1845</v>
      </c>
      <c r="D517" s="11"/>
      <c r="E517" s="11"/>
      <c r="F517" s="24" t="s">
        <v>1064</v>
      </c>
      <c r="G517" s="38"/>
      <c r="H517" s="11" t="s">
        <v>1841</v>
      </c>
      <c r="I517" s="11"/>
      <c r="J517" s="11"/>
      <c r="K517" s="11"/>
      <c r="L517" s="11"/>
      <c r="M517" s="11"/>
      <c r="N517" s="11"/>
      <c r="O517" s="11"/>
      <c r="P517" s="11"/>
      <c r="Q517" s="11"/>
      <c r="R517" s="11"/>
      <c r="S517" s="24" t="s">
        <v>30</v>
      </c>
      <c r="T517" s="24"/>
      <c r="U517" s="24"/>
      <c r="V517" s="24"/>
    </row>
    <row r="518" spans="1:22" ht="153">
      <c r="A518" s="10" t="s">
        <v>433</v>
      </c>
      <c r="B518" s="11" t="str">
        <f>IFERROR(VLOOKUP(A518,Systems!A:B,2,FALSE),"Various")</f>
        <v>Ventilation system</v>
      </c>
      <c r="C518" s="11" t="s">
        <v>1845</v>
      </c>
      <c r="D518" s="11"/>
      <c r="E518" s="11"/>
      <c r="F518" s="24" t="s">
        <v>1064</v>
      </c>
      <c r="G518" s="38"/>
      <c r="H518" s="11" t="s">
        <v>1854</v>
      </c>
      <c r="I518" s="11"/>
      <c r="J518" s="11"/>
      <c r="K518" s="11"/>
      <c r="L518" s="11"/>
      <c r="M518" s="11"/>
      <c r="N518" s="11"/>
      <c r="O518" s="11"/>
      <c r="P518" s="11"/>
      <c r="Q518" s="11"/>
      <c r="R518" s="11"/>
      <c r="S518" s="24" t="s">
        <v>30</v>
      </c>
      <c r="T518" s="24"/>
      <c r="U518" s="24"/>
      <c r="V518" s="24"/>
    </row>
    <row r="519" spans="1:22" ht="409.5">
      <c r="A519" s="10" t="s">
        <v>433</v>
      </c>
      <c r="B519" s="11" t="str">
        <f>IFERROR(VLOOKUP(A519,Systems!A:B,2,FALSE),"Various")</f>
        <v>Ventilation system</v>
      </c>
      <c r="C519" s="11" t="s">
        <v>1855</v>
      </c>
      <c r="D519" s="11"/>
      <c r="E519" s="11"/>
      <c r="F519" s="24" t="s">
        <v>1064</v>
      </c>
      <c r="G519" s="38"/>
      <c r="H519" s="11" t="s">
        <v>1856</v>
      </c>
      <c r="I519" s="11"/>
      <c r="J519" s="11"/>
      <c r="K519" s="11"/>
      <c r="L519" s="11"/>
      <c r="M519" s="11"/>
      <c r="N519" s="11"/>
      <c r="O519" s="11"/>
      <c r="P519" s="11"/>
      <c r="Q519" s="11"/>
      <c r="R519" s="11"/>
      <c r="S519" s="24"/>
      <c r="T519" s="24"/>
      <c r="U519" s="24"/>
      <c r="V519" s="24"/>
    </row>
    <row r="520" spans="1:22" ht="76.5">
      <c r="A520" s="10" t="s">
        <v>433</v>
      </c>
      <c r="B520" s="11" t="str">
        <f>IFERROR(VLOOKUP(A520,Systems!A:B,2,FALSE),"Various")</f>
        <v>Ventilation system</v>
      </c>
      <c r="C520" s="11" t="s">
        <v>1855</v>
      </c>
      <c r="D520" s="11"/>
      <c r="E520" s="11"/>
      <c r="F520" s="24" t="s">
        <v>1064</v>
      </c>
      <c r="G520" s="38"/>
      <c r="H520" s="11" t="s">
        <v>1857</v>
      </c>
      <c r="I520" s="11"/>
      <c r="J520" s="11"/>
      <c r="K520" s="11"/>
      <c r="L520" s="11"/>
      <c r="M520" s="11"/>
      <c r="N520" s="11"/>
      <c r="O520" s="11"/>
      <c r="P520" s="11"/>
      <c r="Q520" s="11"/>
      <c r="R520" s="11"/>
      <c r="S520" s="24"/>
      <c r="T520" s="24"/>
      <c r="U520" s="24"/>
      <c r="V520" s="24"/>
    </row>
    <row r="521" spans="1:22" ht="140.25">
      <c r="A521" s="10" t="s">
        <v>433</v>
      </c>
      <c r="B521" s="11" t="str">
        <f>IFERROR(VLOOKUP(A521,Systems!A:B,2,FALSE),"Various")</f>
        <v>Ventilation system</v>
      </c>
      <c r="C521" s="11" t="s">
        <v>1855</v>
      </c>
      <c r="D521" s="11"/>
      <c r="E521" s="11"/>
      <c r="F521" s="24" t="s">
        <v>1064</v>
      </c>
      <c r="G521" s="38"/>
      <c r="H521" s="11" t="s">
        <v>1858</v>
      </c>
      <c r="I521" s="11"/>
      <c r="J521" s="11"/>
      <c r="K521" s="11"/>
      <c r="L521" s="11"/>
      <c r="M521" s="11"/>
      <c r="N521" s="11"/>
      <c r="O521" s="11"/>
      <c r="P521" s="11"/>
      <c r="Q521" s="11"/>
      <c r="R521" s="11"/>
      <c r="S521" s="24"/>
      <c r="T521" s="24"/>
      <c r="U521" s="24"/>
      <c r="V521" s="24"/>
    </row>
    <row r="522" spans="1:22" ht="51">
      <c r="A522" s="10" t="s">
        <v>433</v>
      </c>
      <c r="B522" s="11" t="str">
        <f>IFERROR(VLOOKUP(A522,Systems!A:B,2,FALSE),"Various")</f>
        <v>Ventilation system</v>
      </c>
      <c r="C522" s="11" t="s">
        <v>1859</v>
      </c>
      <c r="D522" s="11"/>
      <c r="E522" s="11"/>
      <c r="F522" s="24" t="s">
        <v>1064</v>
      </c>
      <c r="G522" s="38"/>
      <c r="H522" s="11" t="s">
        <v>1860</v>
      </c>
      <c r="I522" s="11"/>
      <c r="J522" s="11"/>
      <c r="K522" s="11"/>
      <c r="L522" s="11"/>
      <c r="M522" s="11"/>
      <c r="N522" s="11"/>
      <c r="O522" s="11"/>
      <c r="P522" s="11"/>
      <c r="Q522" s="11"/>
      <c r="R522" s="11"/>
      <c r="S522" s="24" t="s">
        <v>30</v>
      </c>
      <c r="T522" s="24"/>
      <c r="U522" s="24"/>
      <c r="V522" s="24"/>
    </row>
    <row r="523" spans="1:22" ht="51">
      <c r="A523" s="10" t="s">
        <v>433</v>
      </c>
      <c r="B523" s="11" t="str">
        <f>IFERROR(VLOOKUP(A523,Systems!A:B,2,FALSE),"Various")</f>
        <v>Ventilation system</v>
      </c>
      <c r="C523" s="11" t="s">
        <v>1859</v>
      </c>
      <c r="D523" s="11"/>
      <c r="E523" s="11"/>
      <c r="F523" s="24" t="s">
        <v>1064</v>
      </c>
      <c r="G523" s="38"/>
      <c r="H523" s="11" t="s">
        <v>1861</v>
      </c>
      <c r="I523" s="11"/>
      <c r="J523" s="11"/>
      <c r="K523" s="11"/>
      <c r="L523" s="11"/>
      <c r="M523" s="11"/>
      <c r="N523" s="11"/>
      <c r="O523" s="11"/>
      <c r="P523" s="11"/>
      <c r="Q523" s="11"/>
      <c r="R523" s="11"/>
      <c r="S523" s="24" t="s">
        <v>30</v>
      </c>
      <c r="T523" s="24"/>
      <c r="U523" s="24"/>
      <c r="V523" s="24"/>
    </row>
    <row r="524" spans="1:22" ht="51">
      <c r="A524" s="10" t="s">
        <v>433</v>
      </c>
      <c r="B524" s="11" t="str">
        <f>IFERROR(VLOOKUP(A524,Systems!A:B,2,FALSE),"Various")</f>
        <v>Ventilation system</v>
      </c>
      <c r="C524" s="11" t="s">
        <v>1859</v>
      </c>
      <c r="D524" s="11"/>
      <c r="E524" s="11"/>
      <c r="F524" s="24" t="s">
        <v>1064</v>
      </c>
      <c r="G524" s="38"/>
      <c r="H524" s="11" t="s">
        <v>1862</v>
      </c>
      <c r="I524" s="11"/>
      <c r="J524" s="11"/>
      <c r="K524" s="11"/>
      <c r="L524" s="11"/>
      <c r="M524" s="11"/>
      <c r="N524" s="11"/>
      <c r="O524" s="11"/>
      <c r="P524" s="11"/>
      <c r="Q524" s="11"/>
      <c r="R524" s="11"/>
      <c r="S524" s="24" t="s">
        <v>1305</v>
      </c>
      <c r="T524" s="24"/>
      <c r="U524" s="24"/>
      <c r="V524" s="24"/>
    </row>
    <row r="525" spans="1:22" ht="127.5">
      <c r="A525" s="10" t="s">
        <v>433</v>
      </c>
      <c r="B525" s="11" t="str">
        <f>IFERROR(VLOOKUP(A525,Systems!A:B,2,FALSE),"Various")</f>
        <v>Ventilation system</v>
      </c>
      <c r="C525" s="11" t="s">
        <v>1859</v>
      </c>
      <c r="D525" s="11"/>
      <c r="E525" s="11"/>
      <c r="F525" s="24" t="s">
        <v>1064</v>
      </c>
      <c r="G525" s="38"/>
      <c r="H525" s="11" t="s">
        <v>1863</v>
      </c>
      <c r="I525" s="11"/>
      <c r="J525" s="11"/>
      <c r="K525" s="11"/>
      <c r="L525" s="11"/>
      <c r="M525" s="11"/>
      <c r="N525" s="11"/>
      <c r="O525" s="11"/>
      <c r="P525" s="11"/>
      <c r="Q525" s="11"/>
      <c r="R525" s="11"/>
      <c r="S525" s="24" t="s">
        <v>30</v>
      </c>
      <c r="T525" s="24"/>
      <c r="U525" s="24"/>
      <c r="V525" s="24"/>
    </row>
    <row r="526" spans="1:22" ht="63.75">
      <c r="A526" s="10" t="s">
        <v>433</v>
      </c>
      <c r="B526" s="11" t="str">
        <f>IFERROR(VLOOKUP(A526,Systems!A:B,2,FALSE),"Various")</f>
        <v>Ventilation system</v>
      </c>
      <c r="C526" s="11" t="s">
        <v>1859</v>
      </c>
      <c r="D526" s="11"/>
      <c r="E526" s="11"/>
      <c r="F526" s="24" t="s">
        <v>1064</v>
      </c>
      <c r="G526" s="38"/>
      <c r="H526" s="11" t="s">
        <v>1864</v>
      </c>
      <c r="I526" s="11"/>
      <c r="J526" s="11"/>
      <c r="K526" s="11"/>
      <c r="L526" s="11"/>
      <c r="M526" s="11"/>
      <c r="N526" s="11"/>
      <c r="O526" s="11"/>
      <c r="P526" s="11"/>
      <c r="Q526" s="11"/>
      <c r="R526" s="11"/>
      <c r="S526" s="24" t="s">
        <v>30</v>
      </c>
      <c r="T526" s="24"/>
      <c r="U526" s="24" t="str">
        <f t="shared" ref="U526:U531" si="12">IF(OR(NOT(H526=""),NOT(M526="")),"","x")</f>
        <v/>
      </c>
      <c r="V526" s="24"/>
    </row>
    <row r="527" spans="1:22" ht="409.5">
      <c r="A527" s="10" t="s">
        <v>433</v>
      </c>
      <c r="B527" s="11" t="str">
        <f>IFERROR(VLOOKUP(A527,Systems!A:B,2,FALSE),"Various")</f>
        <v>Ventilation system</v>
      </c>
      <c r="C527" s="11" t="s">
        <v>1865</v>
      </c>
      <c r="D527" s="11"/>
      <c r="E527" s="11"/>
      <c r="F527" s="24" t="s">
        <v>1064</v>
      </c>
      <c r="G527" s="38"/>
      <c r="H527" s="11" t="s">
        <v>1866</v>
      </c>
      <c r="I527" s="11"/>
      <c r="J527" s="11"/>
      <c r="K527" s="11"/>
      <c r="L527" s="11"/>
      <c r="M527" s="11"/>
      <c r="N527" s="11"/>
      <c r="O527" s="11"/>
      <c r="P527" s="11"/>
      <c r="Q527" s="11"/>
      <c r="R527" s="11"/>
      <c r="S527" s="24" t="s">
        <v>30</v>
      </c>
      <c r="T527" s="24"/>
      <c r="U527" s="24" t="str">
        <f t="shared" si="12"/>
        <v/>
      </c>
      <c r="V527" s="24"/>
    </row>
    <row r="528" spans="1:22" ht="191.25">
      <c r="A528" s="10" t="s">
        <v>433</v>
      </c>
      <c r="B528" s="11" t="str">
        <f>IFERROR(VLOOKUP(A528,Systems!A:B,2,FALSE),"Various")</f>
        <v>Ventilation system</v>
      </c>
      <c r="C528" s="11"/>
      <c r="D528" s="11"/>
      <c r="E528" s="11"/>
      <c r="F528" s="24" t="s">
        <v>1064</v>
      </c>
      <c r="G528" s="38"/>
      <c r="H528" s="11" t="s">
        <v>1867</v>
      </c>
      <c r="I528" s="11"/>
      <c r="J528" s="11"/>
      <c r="K528" s="11"/>
      <c r="L528" s="11"/>
      <c r="M528" s="11"/>
      <c r="N528" s="11"/>
      <c r="O528" s="11"/>
      <c r="P528" s="11"/>
      <c r="Q528" s="11"/>
      <c r="R528" s="11"/>
      <c r="S528" s="24" t="s">
        <v>30</v>
      </c>
      <c r="T528" s="24"/>
      <c r="U528" s="24" t="str">
        <f t="shared" si="12"/>
        <v/>
      </c>
      <c r="V528" s="24"/>
    </row>
    <row r="529" spans="1:22" ht="76.5">
      <c r="A529" s="10" t="s">
        <v>433</v>
      </c>
      <c r="B529" s="11" t="str">
        <f>IFERROR(VLOOKUP(A529,Systems!A:B,2,FALSE),"Various")</f>
        <v>Ventilation system</v>
      </c>
      <c r="C529" s="11" t="s">
        <v>1868</v>
      </c>
      <c r="D529" s="11"/>
      <c r="E529" s="11"/>
      <c r="F529" s="24" t="s">
        <v>1064</v>
      </c>
      <c r="G529" s="38"/>
      <c r="H529" s="11" t="s">
        <v>1869</v>
      </c>
      <c r="I529" s="11"/>
      <c r="J529" s="11"/>
      <c r="K529" s="11"/>
      <c r="L529" s="11"/>
      <c r="M529" s="11"/>
      <c r="N529" s="11"/>
      <c r="O529" s="11"/>
      <c r="P529" s="11"/>
      <c r="Q529" s="11"/>
      <c r="R529" s="11"/>
      <c r="S529" s="24" t="s">
        <v>30</v>
      </c>
      <c r="T529" s="24"/>
      <c r="U529" s="24" t="str">
        <f t="shared" si="12"/>
        <v/>
      </c>
      <c r="V529" s="24"/>
    </row>
    <row r="530" spans="1:22" ht="76.5">
      <c r="A530" s="10" t="s">
        <v>433</v>
      </c>
      <c r="B530" s="11" t="str">
        <f>IFERROR(VLOOKUP(A530,Systems!A:B,2,FALSE),"Various")</f>
        <v>Ventilation system</v>
      </c>
      <c r="C530" s="11" t="s">
        <v>1868</v>
      </c>
      <c r="D530" s="11"/>
      <c r="E530" s="11"/>
      <c r="F530" s="24" t="s">
        <v>1064</v>
      </c>
      <c r="G530" s="38"/>
      <c r="H530" s="11" t="s">
        <v>1870</v>
      </c>
      <c r="I530" s="11"/>
      <c r="J530" s="11"/>
      <c r="K530" s="11"/>
      <c r="L530" s="11"/>
      <c r="M530" s="11"/>
      <c r="N530" s="11"/>
      <c r="O530" s="11"/>
      <c r="P530" s="11"/>
      <c r="Q530" s="11"/>
      <c r="R530" s="11"/>
      <c r="S530" s="24" t="s">
        <v>30</v>
      </c>
      <c r="T530" s="24"/>
      <c r="U530" s="24" t="str">
        <f t="shared" si="12"/>
        <v/>
      </c>
      <c r="V530" s="24"/>
    </row>
    <row r="531" spans="1:22" ht="127.5">
      <c r="A531" s="10" t="s">
        <v>433</v>
      </c>
      <c r="B531" s="11" t="str">
        <f>IFERROR(VLOOKUP(A531,Systems!A:B,2,FALSE),"Various")</f>
        <v>Ventilation system</v>
      </c>
      <c r="C531" s="11" t="s">
        <v>1871</v>
      </c>
      <c r="D531" s="11"/>
      <c r="E531" s="11"/>
      <c r="F531" s="24" t="s">
        <v>1064</v>
      </c>
      <c r="G531" s="38"/>
      <c r="H531" s="11" t="s">
        <v>1872</v>
      </c>
      <c r="I531" s="11"/>
      <c r="J531" s="11"/>
      <c r="K531" s="11"/>
      <c r="L531" s="11"/>
      <c r="M531" s="11"/>
      <c r="N531" s="11"/>
      <c r="O531" s="11"/>
      <c r="P531" s="11"/>
      <c r="Q531" s="11"/>
      <c r="R531" s="11"/>
      <c r="S531" s="24" t="s">
        <v>30</v>
      </c>
      <c r="T531" s="24"/>
      <c r="U531" s="24" t="str">
        <f t="shared" si="12"/>
        <v/>
      </c>
      <c r="V531" s="24"/>
    </row>
    <row r="532" spans="1:22" ht="153">
      <c r="A532" s="10" t="s">
        <v>173</v>
      </c>
      <c r="B532" s="11" t="str">
        <f>IFERROR(VLOOKUP(A532,Systems!A:B,2,FALSE),"Various")</f>
        <v>Deckwash / internal fifi system</v>
      </c>
      <c r="C532" s="11" t="s">
        <v>1235</v>
      </c>
      <c r="D532" s="11"/>
      <c r="E532" s="11"/>
      <c r="F532" s="24" t="s">
        <v>1064</v>
      </c>
      <c r="G532" s="38"/>
      <c r="H532" s="11" t="s">
        <v>1979</v>
      </c>
      <c r="I532" s="11"/>
      <c r="J532" s="11" t="s">
        <v>1980</v>
      </c>
      <c r="K532" s="11"/>
      <c r="L532" s="11"/>
      <c r="M532" s="11"/>
      <c r="N532" s="11"/>
      <c r="O532" s="11"/>
      <c r="P532" s="11"/>
      <c r="Q532" s="11"/>
      <c r="R532" s="11"/>
      <c r="S532" s="24" t="s">
        <v>30</v>
      </c>
      <c r="T532" s="24"/>
      <c r="U532" s="24"/>
      <c r="V532" s="24"/>
    </row>
    <row r="533" spans="1:22" ht="344.25">
      <c r="A533" s="10" t="s">
        <v>173</v>
      </c>
      <c r="B533" s="11" t="str">
        <f>IFERROR(VLOOKUP(A533,Systems!A:B,2,FALSE),"Various")</f>
        <v>Deckwash / internal fifi system</v>
      </c>
      <c r="C533" s="11" t="s">
        <v>1236</v>
      </c>
      <c r="D533" s="11"/>
      <c r="E533" s="11"/>
      <c r="F533" s="24" t="s">
        <v>1064</v>
      </c>
      <c r="G533" s="38"/>
      <c r="H533" s="11" t="s">
        <v>1731</v>
      </c>
      <c r="I533" s="11"/>
      <c r="J533" s="11"/>
      <c r="K533" s="11"/>
      <c r="L533" s="11"/>
      <c r="M533" s="11"/>
      <c r="N533" s="11"/>
      <c r="O533" s="11"/>
      <c r="P533" s="11"/>
      <c r="Q533" s="11"/>
      <c r="R533" s="11"/>
      <c r="S533" s="24" t="s">
        <v>30</v>
      </c>
      <c r="T533" s="24"/>
      <c r="U533" s="24"/>
      <c r="V533" s="24"/>
    </row>
    <row r="534" spans="1:22" ht="114.75">
      <c r="A534" s="10" t="s">
        <v>173</v>
      </c>
      <c r="B534" s="11" t="str">
        <f>IFERROR(VLOOKUP(A534,Systems!A:B,2,FALSE),"Various")</f>
        <v>Deckwash / internal fifi system</v>
      </c>
      <c r="C534" s="11" t="s">
        <v>1237</v>
      </c>
      <c r="D534" s="11"/>
      <c r="E534" s="11"/>
      <c r="F534" s="24" t="s">
        <v>1064</v>
      </c>
      <c r="G534" s="38"/>
      <c r="H534" s="11" t="s">
        <v>1525</v>
      </c>
      <c r="I534" s="11"/>
      <c r="J534" s="11" t="s">
        <v>1981</v>
      </c>
      <c r="K534" s="11"/>
      <c r="L534" s="11"/>
      <c r="M534" s="11"/>
      <c r="N534" s="11"/>
      <c r="O534" s="11"/>
      <c r="P534" s="11"/>
      <c r="Q534" s="11"/>
      <c r="R534" s="11"/>
      <c r="S534" s="24"/>
      <c r="T534" s="24"/>
      <c r="U534" s="24"/>
      <c r="V534" s="24"/>
    </row>
    <row r="535" spans="1:22" ht="178.5">
      <c r="A535" s="10" t="s">
        <v>173</v>
      </c>
      <c r="B535" s="11" t="str">
        <f>IFERROR(VLOOKUP(A535,Systems!A:B,2,FALSE),"Various")</f>
        <v>Deckwash / internal fifi system</v>
      </c>
      <c r="C535" s="11" t="s">
        <v>1732</v>
      </c>
      <c r="D535" s="11"/>
      <c r="E535" s="11"/>
      <c r="F535" s="24" t="s">
        <v>1064</v>
      </c>
      <c r="G535" s="38"/>
      <c r="H535" s="11" t="s">
        <v>1744</v>
      </c>
      <c r="I535" s="11"/>
      <c r="J535" s="11" t="s">
        <v>1983</v>
      </c>
      <c r="K535" s="11"/>
      <c r="L535" s="11" t="s">
        <v>1737</v>
      </c>
      <c r="M535" s="11"/>
      <c r="N535" s="11"/>
      <c r="O535" s="11"/>
      <c r="P535" s="11"/>
      <c r="Q535" s="11"/>
      <c r="R535" s="11"/>
      <c r="S535" s="24"/>
      <c r="T535" s="24"/>
      <c r="U535" s="24"/>
      <c r="V535" s="24"/>
    </row>
    <row r="536" spans="1:22" ht="165.75">
      <c r="A536" s="10" t="s">
        <v>173</v>
      </c>
      <c r="B536" s="11" t="str">
        <f>IFERROR(VLOOKUP(A536,Systems!A:B,2,FALSE),"Various")</f>
        <v>Deckwash / internal fifi system</v>
      </c>
      <c r="C536" s="11" t="s">
        <v>1733</v>
      </c>
      <c r="D536" s="11"/>
      <c r="E536" s="11"/>
      <c r="F536" s="24" t="s">
        <v>1064</v>
      </c>
      <c r="G536" s="38"/>
      <c r="H536" s="11" t="s">
        <v>1745</v>
      </c>
      <c r="I536" s="11"/>
      <c r="J536" s="11"/>
      <c r="K536" s="11"/>
      <c r="L536" s="11" t="s">
        <v>1737</v>
      </c>
      <c r="M536" s="11"/>
      <c r="N536" s="11"/>
      <c r="O536" s="11"/>
      <c r="P536" s="11"/>
      <c r="Q536" s="11"/>
      <c r="R536" s="11"/>
      <c r="S536" s="24" t="s">
        <v>30</v>
      </c>
      <c r="T536" s="24"/>
      <c r="U536" s="24"/>
      <c r="V536" s="24"/>
    </row>
    <row r="537" spans="1:22" ht="51">
      <c r="A537" s="10" t="s">
        <v>173</v>
      </c>
      <c r="B537" s="11" t="str">
        <f>IFERROR(VLOOKUP(A537,Systems!A:B,2,FALSE),"Various")</f>
        <v>Deckwash / internal fifi system</v>
      </c>
      <c r="C537" s="11" t="s">
        <v>1734</v>
      </c>
      <c r="D537" s="11"/>
      <c r="E537" s="11"/>
      <c r="F537" s="24" t="s">
        <v>1064</v>
      </c>
      <c r="G537" s="38"/>
      <c r="H537" s="11" t="s">
        <v>1746</v>
      </c>
      <c r="I537" s="11"/>
      <c r="J537" s="11" t="s">
        <v>1984</v>
      </c>
      <c r="K537" s="11"/>
      <c r="L537" s="11" t="s">
        <v>1738</v>
      </c>
      <c r="M537" s="11"/>
      <c r="N537" s="11"/>
      <c r="O537" s="11"/>
      <c r="P537" s="11"/>
      <c r="Q537" s="11"/>
      <c r="R537" s="11"/>
      <c r="S537" s="24" t="s">
        <v>30</v>
      </c>
      <c r="T537" s="24"/>
      <c r="U537" s="24"/>
      <c r="V537" s="24"/>
    </row>
    <row r="538" spans="1:22" ht="89.25">
      <c r="A538" s="10" t="s">
        <v>173</v>
      </c>
      <c r="B538" s="11" t="str">
        <f>IFERROR(VLOOKUP(A538,Systems!A:B,2,FALSE),"Various")</f>
        <v>Deckwash / internal fifi system</v>
      </c>
      <c r="C538" s="11" t="s">
        <v>1735</v>
      </c>
      <c r="D538" s="11"/>
      <c r="E538" s="11"/>
      <c r="F538" s="24" t="s">
        <v>1064</v>
      </c>
      <c r="G538" s="38"/>
      <c r="H538" s="11" t="s">
        <v>1747</v>
      </c>
      <c r="I538" s="11"/>
      <c r="J538" s="11"/>
      <c r="K538" s="11"/>
      <c r="L538" s="11" t="s">
        <v>1739</v>
      </c>
      <c r="M538" s="11"/>
      <c r="N538" s="11"/>
      <c r="O538" s="11"/>
      <c r="P538" s="11"/>
      <c r="Q538" s="11"/>
      <c r="R538" s="11"/>
      <c r="S538" s="24" t="s">
        <v>30</v>
      </c>
      <c r="T538" s="24"/>
      <c r="U538" s="24"/>
      <c r="V538" s="24"/>
    </row>
    <row r="539" spans="1:22" ht="76.5">
      <c r="A539" s="10" t="s">
        <v>173</v>
      </c>
      <c r="B539" s="11" t="str">
        <f>IFERROR(VLOOKUP(A539,Systems!A:B,2,FALSE),"Various")</f>
        <v>Deckwash / internal fifi system</v>
      </c>
      <c r="C539" s="11" t="s">
        <v>1736</v>
      </c>
      <c r="D539" s="11"/>
      <c r="E539" s="11"/>
      <c r="F539" s="24" t="s">
        <v>1064</v>
      </c>
      <c r="G539" s="38"/>
      <c r="H539" s="11" t="s">
        <v>1748</v>
      </c>
      <c r="I539" s="11"/>
      <c r="J539" s="11"/>
      <c r="K539" s="11"/>
      <c r="L539" s="11" t="s">
        <v>1740</v>
      </c>
      <c r="M539" s="11"/>
      <c r="N539" s="11"/>
      <c r="O539" s="11"/>
      <c r="P539" s="11"/>
      <c r="Q539" s="11"/>
      <c r="R539" s="11"/>
      <c r="S539" s="24"/>
      <c r="T539" s="24"/>
      <c r="U539" s="24"/>
      <c r="V539" s="24"/>
    </row>
    <row r="540" spans="1:22" ht="191.25">
      <c r="A540" s="10" t="s">
        <v>173</v>
      </c>
      <c r="B540" s="11" t="str">
        <f>IFERROR(VLOOKUP(A540,Systems!A:B,2,FALSE),"Various")</f>
        <v>Deckwash / internal fifi system</v>
      </c>
      <c r="C540" s="11" t="s">
        <v>1750</v>
      </c>
      <c r="D540" s="11"/>
      <c r="E540" s="11"/>
      <c r="F540" s="24" t="s">
        <v>1064</v>
      </c>
      <c r="G540" s="38"/>
      <c r="H540" s="11" t="s">
        <v>1749</v>
      </c>
      <c r="I540" s="11"/>
      <c r="J540" s="11" t="s">
        <v>1985</v>
      </c>
      <c r="K540" s="11"/>
      <c r="L540" s="11" t="s">
        <v>1741</v>
      </c>
      <c r="M540" s="11"/>
      <c r="N540" s="11"/>
      <c r="O540" s="11"/>
      <c r="P540" s="11"/>
      <c r="Q540" s="11"/>
      <c r="R540" s="11"/>
      <c r="S540" s="24" t="s">
        <v>30</v>
      </c>
      <c r="T540" s="24"/>
      <c r="U540" s="24"/>
      <c r="V540" s="24"/>
    </row>
    <row r="541" spans="1:22" ht="191.25">
      <c r="A541" s="10" t="s">
        <v>173</v>
      </c>
      <c r="B541" s="11" t="str">
        <f>IFERROR(VLOOKUP(A541,Systems!A:B,2,FALSE),"Various")</f>
        <v>Deckwash / internal fifi system</v>
      </c>
      <c r="C541" s="11" t="s">
        <v>1750</v>
      </c>
      <c r="D541" s="11"/>
      <c r="E541" s="11"/>
      <c r="F541" s="24" t="s">
        <v>1064</v>
      </c>
      <c r="G541" s="38"/>
      <c r="H541" s="11" t="s">
        <v>1751</v>
      </c>
      <c r="I541" s="11"/>
      <c r="J541" s="11"/>
      <c r="K541" s="11"/>
      <c r="L541" s="11" t="s">
        <v>1742</v>
      </c>
      <c r="M541" s="11"/>
      <c r="N541" s="11"/>
      <c r="O541" s="11"/>
      <c r="P541" s="11"/>
      <c r="Q541" s="11"/>
      <c r="R541" s="11"/>
      <c r="S541" s="24"/>
      <c r="T541" s="24"/>
      <c r="U541" s="24"/>
      <c r="V541" s="24"/>
    </row>
    <row r="542" spans="1:22" ht="191.25">
      <c r="A542" s="10" t="s">
        <v>173</v>
      </c>
      <c r="B542" s="11" t="str">
        <f>IFERROR(VLOOKUP(A542,Systems!A:B,2,FALSE),"Various")</f>
        <v>Deckwash / internal fifi system</v>
      </c>
      <c r="C542" s="11" t="s">
        <v>1238</v>
      </c>
      <c r="D542" s="11"/>
      <c r="E542" s="11"/>
      <c r="F542" s="24" t="s">
        <v>1064</v>
      </c>
      <c r="G542" s="38"/>
      <c r="H542" s="11" t="s">
        <v>1526</v>
      </c>
      <c r="I542" s="11"/>
      <c r="J542" s="11" t="s">
        <v>1982</v>
      </c>
      <c r="K542" s="11"/>
      <c r="L542" s="11" t="s">
        <v>1743</v>
      </c>
      <c r="M542" s="11"/>
      <c r="N542" s="11"/>
      <c r="O542" s="11"/>
      <c r="P542" s="11"/>
      <c r="Q542" s="11"/>
      <c r="R542" s="11"/>
      <c r="S542" s="24"/>
      <c r="T542" s="24"/>
      <c r="U542" s="24"/>
      <c r="V542" s="24"/>
    </row>
    <row r="543" spans="1:22" ht="76.5">
      <c r="A543" s="10" t="s">
        <v>173</v>
      </c>
      <c r="B543" s="11" t="str">
        <f>IFERROR(VLOOKUP(A543,Systems!A:B,2,FALSE),"Various")</f>
        <v>Deckwash / internal fifi system</v>
      </c>
      <c r="C543" s="11" t="s">
        <v>1239</v>
      </c>
      <c r="D543" s="11"/>
      <c r="E543" s="11"/>
      <c r="F543" s="24" t="s">
        <v>1064</v>
      </c>
      <c r="G543" s="38"/>
      <c r="H543" s="11" t="s">
        <v>1527</v>
      </c>
      <c r="I543" s="11"/>
      <c r="J543" s="11"/>
      <c r="K543" s="11"/>
      <c r="L543" s="11"/>
      <c r="M543" s="11"/>
      <c r="N543" s="11"/>
      <c r="O543" s="11"/>
      <c r="P543" s="11"/>
      <c r="Q543" s="11"/>
      <c r="R543" s="11"/>
      <c r="S543" s="24" t="s">
        <v>30</v>
      </c>
      <c r="T543" s="24"/>
      <c r="U543" s="24"/>
      <c r="V543" s="24"/>
    </row>
    <row r="544" spans="1:22" ht="63.75">
      <c r="A544" s="10" t="s">
        <v>1754</v>
      </c>
      <c r="B544" s="11" t="str">
        <f>IFERROR(VLOOKUP(A544,Systems!A:B,2,FALSE),"Various")</f>
        <v>Various</v>
      </c>
      <c r="C544" s="11" t="s">
        <v>1752</v>
      </c>
      <c r="D544" s="11"/>
      <c r="E544" s="11"/>
      <c r="F544" s="24" t="s">
        <v>1064</v>
      </c>
      <c r="G544" s="38"/>
      <c r="H544" s="11" t="s">
        <v>1753</v>
      </c>
      <c r="I544" s="11"/>
      <c r="J544" s="11"/>
      <c r="K544" s="11"/>
      <c r="L544" s="11"/>
      <c r="M544" s="11"/>
      <c r="N544" s="11"/>
      <c r="O544" s="11"/>
      <c r="P544" s="11"/>
      <c r="Q544" s="11"/>
      <c r="R544" s="11"/>
      <c r="S544" s="24"/>
      <c r="T544" s="24"/>
      <c r="U544" s="24"/>
      <c r="V544" s="24"/>
    </row>
    <row r="545" spans="1:22" ht="178.5">
      <c r="A545" s="10" t="s">
        <v>224</v>
      </c>
      <c r="B545" s="11" t="str">
        <f>IFERROR(VLOOKUP(A545,Systems!A:B,2,FALSE),"Various")</f>
        <v>Bilge system</v>
      </c>
      <c r="C545" s="11" t="s">
        <v>1068</v>
      </c>
      <c r="D545" s="11"/>
      <c r="E545" s="11"/>
      <c r="F545" s="24" t="s">
        <v>1067</v>
      </c>
      <c r="G545" s="38"/>
      <c r="H545" s="11" t="s">
        <v>1195</v>
      </c>
      <c r="I545" s="11"/>
      <c r="J545" s="11"/>
      <c r="K545" s="11"/>
      <c r="L545" s="11"/>
      <c r="M545" s="11"/>
      <c r="N545" s="11"/>
      <c r="O545" s="11"/>
      <c r="P545" s="11"/>
      <c r="Q545" s="11" t="s">
        <v>1792</v>
      </c>
      <c r="R545" s="11"/>
      <c r="S545" s="24"/>
      <c r="T545" s="24"/>
      <c r="U545" s="24"/>
      <c r="V545" s="24"/>
    </row>
    <row r="546" spans="1:22" ht="409.5">
      <c r="A546" s="10" t="s">
        <v>224</v>
      </c>
      <c r="B546" s="11" t="str">
        <f>IFERROR(VLOOKUP(A546,Systems!A:B,2,FALSE),"Various")</f>
        <v>Bilge system</v>
      </c>
      <c r="C546" s="11" t="s">
        <v>1069</v>
      </c>
      <c r="D546" s="11"/>
      <c r="E546" s="11"/>
      <c r="F546" s="24" t="s">
        <v>1067</v>
      </c>
      <c r="G546" s="38"/>
      <c r="H546" s="11" t="s">
        <v>1196</v>
      </c>
      <c r="I546" s="11"/>
      <c r="J546" s="11"/>
      <c r="K546" s="11"/>
      <c r="L546" s="11"/>
      <c r="M546" s="11"/>
      <c r="N546" s="11"/>
      <c r="O546" s="11"/>
      <c r="P546" s="11"/>
      <c r="Q546" s="11"/>
      <c r="R546" s="11"/>
      <c r="S546" s="24" t="s">
        <v>30</v>
      </c>
      <c r="T546" s="24"/>
      <c r="U546" s="24"/>
      <c r="V546" s="24"/>
    </row>
    <row r="547" spans="1:22" ht="102">
      <c r="A547" s="10" t="s">
        <v>224</v>
      </c>
      <c r="B547" s="11" t="str">
        <f>IFERROR(VLOOKUP(A547,Systems!A:B,2,FALSE),"Various")</f>
        <v>Bilge system</v>
      </c>
      <c r="C547" s="11" t="s">
        <v>1070</v>
      </c>
      <c r="D547" s="11"/>
      <c r="E547" s="11"/>
      <c r="F547" s="24" t="s">
        <v>1067</v>
      </c>
      <c r="G547" s="38"/>
      <c r="H547" s="11" t="s">
        <v>1197</v>
      </c>
      <c r="I547" s="11"/>
      <c r="J547" s="11"/>
      <c r="K547" s="11"/>
      <c r="L547" s="11"/>
      <c r="M547" s="11"/>
      <c r="N547" s="11"/>
      <c r="O547" s="11"/>
      <c r="P547" s="11"/>
      <c r="Q547" s="11" t="s">
        <v>1793</v>
      </c>
      <c r="R547" s="11"/>
      <c r="S547" s="24" t="s">
        <v>30</v>
      </c>
      <c r="T547" s="24"/>
      <c r="U547" s="24"/>
      <c r="V547" s="24"/>
    </row>
    <row r="548" spans="1:22" ht="153">
      <c r="A548" s="10" t="s">
        <v>224</v>
      </c>
      <c r="B548" s="11" t="str">
        <f>IFERROR(VLOOKUP(A548,Systems!A:B,2,FALSE),"Various")</f>
        <v>Bilge system</v>
      </c>
      <c r="C548" s="11" t="s">
        <v>1071</v>
      </c>
      <c r="D548" s="11"/>
      <c r="E548" s="11"/>
      <c r="F548" s="24" t="s">
        <v>1067</v>
      </c>
      <c r="G548" s="38"/>
      <c r="H548" s="11" t="s">
        <v>1431</v>
      </c>
      <c r="I548" s="11"/>
      <c r="J548" s="11"/>
      <c r="K548" s="11"/>
      <c r="L548" s="11"/>
      <c r="M548" s="11"/>
      <c r="N548" s="11"/>
      <c r="O548" s="11"/>
      <c r="P548" s="11"/>
      <c r="Q548" s="11"/>
      <c r="R548" s="11"/>
      <c r="S548" s="24"/>
      <c r="T548" s="24"/>
      <c r="U548" s="24"/>
      <c r="V548" s="24"/>
    </row>
    <row r="549" spans="1:22" ht="63.75">
      <c r="A549" s="10" t="s">
        <v>224</v>
      </c>
      <c r="B549" s="11" t="str">
        <f>IFERROR(VLOOKUP(A549,Systems!A:B,2,FALSE),"Various")</f>
        <v>Bilge system</v>
      </c>
      <c r="C549" s="11" t="s">
        <v>1072</v>
      </c>
      <c r="D549" s="11"/>
      <c r="E549" s="11"/>
      <c r="F549" s="24" t="s">
        <v>1067</v>
      </c>
      <c r="G549" s="38"/>
      <c r="H549" s="11" t="s">
        <v>1198</v>
      </c>
      <c r="I549" s="11"/>
      <c r="J549" s="11"/>
      <c r="K549" s="11"/>
      <c r="L549" s="11"/>
      <c r="M549" s="11"/>
      <c r="N549" s="11"/>
      <c r="O549" s="11"/>
      <c r="P549" s="11"/>
      <c r="Q549" s="11" t="s">
        <v>1794</v>
      </c>
      <c r="R549" s="11"/>
      <c r="S549" s="24"/>
      <c r="T549" s="24"/>
      <c r="U549" s="24"/>
      <c r="V549" s="24"/>
    </row>
    <row r="550" spans="1:22" ht="127.5">
      <c r="A550" s="10" t="s">
        <v>224</v>
      </c>
      <c r="B550" s="11" t="str">
        <f>IFERROR(VLOOKUP(A550,Systems!A:B,2,FALSE),"Various")</f>
        <v>Bilge system</v>
      </c>
      <c r="C550" s="11" t="s">
        <v>1073</v>
      </c>
      <c r="D550" s="11"/>
      <c r="E550" s="11"/>
      <c r="F550" s="24" t="s">
        <v>1067</v>
      </c>
      <c r="G550" s="38"/>
      <c r="H550" s="11" t="s">
        <v>1199</v>
      </c>
      <c r="I550" s="11"/>
      <c r="J550" s="11"/>
      <c r="K550" s="11"/>
      <c r="L550" s="11"/>
      <c r="M550" s="11"/>
      <c r="N550" s="11"/>
      <c r="O550" s="11"/>
      <c r="P550" s="11"/>
      <c r="Q550" s="11"/>
      <c r="R550" s="11"/>
      <c r="S550" s="24"/>
      <c r="T550" s="24"/>
      <c r="U550" s="24"/>
      <c r="V550" s="24"/>
    </row>
    <row r="551" spans="1:22" ht="76.5">
      <c r="A551" s="10" t="s">
        <v>224</v>
      </c>
      <c r="B551" s="11" t="str">
        <f>IFERROR(VLOOKUP(A551,Systems!A:B,2,FALSE),"Various")</f>
        <v>Bilge system</v>
      </c>
      <c r="C551" s="11" t="s">
        <v>1074</v>
      </c>
      <c r="D551" s="11"/>
      <c r="E551" s="11"/>
      <c r="F551" s="24" t="s">
        <v>1067</v>
      </c>
      <c r="G551" s="38"/>
      <c r="H551" s="11" t="s">
        <v>1200</v>
      </c>
      <c r="I551" s="11"/>
      <c r="J551" s="11"/>
      <c r="K551" s="11"/>
      <c r="L551" s="11"/>
      <c r="M551" s="11"/>
      <c r="N551" s="11"/>
      <c r="O551" s="11"/>
      <c r="P551" s="11"/>
      <c r="Q551" s="11" t="s">
        <v>1798</v>
      </c>
      <c r="R551" s="11"/>
      <c r="S551" s="24"/>
      <c r="T551" s="24"/>
      <c r="U551" s="24"/>
      <c r="V551" s="24"/>
    </row>
    <row r="552" spans="1:22" ht="114.75">
      <c r="A552" s="10" t="s">
        <v>224</v>
      </c>
      <c r="B552" s="11" t="str">
        <f>IFERROR(VLOOKUP(A552,Systems!A:B,2,FALSE),"Various")</f>
        <v>Bilge system</v>
      </c>
      <c r="C552" s="11" t="s">
        <v>1075</v>
      </c>
      <c r="D552" s="11"/>
      <c r="E552" s="11"/>
      <c r="F552" s="24" t="s">
        <v>1067</v>
      </c>
      <c r="G552" s="38"/>
      <c r="H552" s="11" t="s">
        <v>1801</v>
      </c>
      <c r="I552" s="11"/>
      <c r="J552" s="11"/>
      <c r="K552" s="11"/>
      <c r="L552" s="11"/>
      <c r="M552" s="11"/>
      <c r="N552" s="11"/>
      <c r="O552" s="11"/>
      <c r="P552" s="11"/>
      <c r="Q552" s="11" t="s">
        <v>1802</v>
      </c>
      <c r="R552" s="11"/>
      <c r="S552" s="24"/>
      <c r="T552" s="24"/>
      <c r="U552" s="24"/>
      <c r="V552" s="24"/>
    </row>
    <row r="553" spans="1:22" ht="204">
      <c r="A553" s="10" t="s">
        <v>224</v>
      </c>
      <c r="B553" s="11" t="str">
        <f>IFERROR(VLOOKUP(A553,Systems!A:B,2,FALSE),"Various")</f>
        <v>Bilge system</v>
      </c>
      <c r="C553" s="11" t="s">
        <v>1076</v>
      </c>
      <c r="D553" s="11"/>
      <c r="E553" s="11"/>
      <c r="F553" s="24" t="s">
        <v>1067</v>
      </c>
      <c r="G553" s="38"/>
      <c r="H553" s="11" t="s">
        <v>1432</v>
      </c>
      <c r="I553" s="11"/>
      <c r="J553" s="11"/>
      <c r="K553" s="11"/>
      <c r="L553" s="11"/>
      <c r="M553" s="11"/>
      <c r="N553" s="11"/>
      <c r="O553" s="11"/>
      <c r="P553" s="11"/>
      <c r="Q553" s="11" t="s">
        <v>1803</v>
      </c>
      <c r="R553" s="11"/>
      <c r="S553" s="24"/>
      <c r="T553" s="24"/>
      <c r="U553" s="24"/>
      <c r="V553" s="24"/>
    </row>
    <row r="554" spans="1:22" ht="63.75">
      <c r="A554" s="10" t="s">
        <v>224</v>
      </c>
      <c r="B554" s="11" t="str">
        <f>IFERROR(VLOOKUP(A554,Systems!A:B,2,FALSE),"Various")</f>
        <v>Bilge system</v>
      </c>
      <c r="C554" s="11" t="s">
        <v>1077</v>
      </c>
      <c r="D554" s="11"/>
      <c r="E554" s="11"/>
      <c r="F554" s="24" t="s">
        <v>1067</v>
      </c>
      <c r="G554" s="38"/>
      <c r="H554" s="11" t="s">
        <v>1201</v>
      </c>
      <c r="I554" s="11"/>
      <c r="J554" s="11"/>
      <c r="K554" s="11"/>
      <c r="L554" s="11"/>
      <c r="M554" s="11"/>
      <c r="N554" s="11"/>
      <c r="O554" s="11"/>
      <c r="P554" s="11"/>
      <c r="Q554" s="11" t="s">
        <v>1804</v>
      </c>
      <c r="R554" s="11"/>
      <c r="S554" s="24"/>
      <c r="T554" s="24"/>
      <c r="U554" s="24"/>
      <c r="V554" s="24"/>
    </row>
    <row r="555" spans="1:22" ht="369.75">
      <c r="A555" s="10" t="s">
        <v>1190</v>
      </c>
      <c r="B555" s="11" t="str">
        <f>IFERROR(VLOOKUP(A555,Systems!A:B,2,FALSE),"Various")</f>
        <v>Various</v>
      </c>
      <c r="C555" s="11" t="s">
        <v>1078</v>
      </c>
      <c r="D555" s="11"/>
      <c r="E555" s="11"/>
      <c r="F555" s="24" t="s">
        <v>1067</v>
      </c>
      <c r="G555" s="38"/>
      <c r="H555" s="11" t="s">
        <v>1570</v>
      </c>
      <c r="I555" s="11"/>
      <c r="J555" s="11"/>
      <c r="K555" s="11"/>
      <c r="L555" s="11"/>
      <c r="M555" s="11"/>
      <c r="N555" s="11"/>
      <c r="O555" s="11"/>
      <c r="P555" s="11"/>
      <c r="Q555" s="11" t="s">
        <v>1791</v>
      </c>
      <c r="R555" s="11"/>
      <c r="S555" s="24"/>
      <c r="T555" s="24"/>
      <c r="U555" s="24"/>
      <c r="V555" s="24"/>
    </row>
    <row r="556" spans="1:22" ht="89.25">
      <c r="A556" s="10" t="s">
        <v>830</v>
      </c>
      <c r="B556" s="11" t="str">
        <f>IFERROR(VLOOKUP(A556,Systems!A:B,2,FALSE),"Various")</f>
        <v>Ballast system</v>
      </c>
      <c r="C556" s="11" t="s">
        <v>1079</v>
      </c>
      <c r="D556" s="11"/>
      <c r="E556" s="11"/>
      <c r="F556" s="24" t="s">
        <v>1067</v>
      </c>
      <c r="G556" s="38"/>
      <c r="H556" s="11" t="s">
        <v>1572</v>
      </c>
      <c r="I556" s="11"/>
      <c r="J556" s="11"/>
      <c r="K556" s="11"/>
      <c r="L556" s="11"/>
      <c r="M556" s="11"/>
      <c r="N556" s="11"/>
      <c r="O556" s="11"/>
      <c r="P556" s="11"/>
      <c r="Q556" s="11"/>
      <c r="R556" s="11"/>
      <c r="S556" s="24" t="s">
        <v>30</v>
      </c>
      <c r="T556" s="24"/>
      <c r="U556" s="24"/>
      <c r="V556" s="24"/>
    </row>
    <row r="557" spans="1:22" ht="89.25">
      <c r="A557" s="10" t="s">
        <v>860</v>
      </c>
      <c r="B557" s="11" t="str">
        <f>IFERROR(VLOOKUP(A557,Systems!A:B,2,FALSE),"Various")</f>
        <v>Steering gear system</v>
      </c>
      <c r="C557" s="11" t="s">
        <v>2298</v>
      </c>
      <c r="D557" s="11"/>
      <c r="E557" s="11"/>
      <c r="F557" s="24" t="s">
        <v>1067</v>
      </c>
      <c r="G557" s="38"/>
      <c r="H557" s="11"/>
      <c r="I557" s="11" t="s">
        <v>2299</v>
      </c>
      <c r="J557" s="11"/>
      <c r="K557" s="11"/>
      <c r="L557" s="11"/>
      <c r="M557" s="11"/>
      <c r="N557" s="11"/>
      <c r="O557" s="11"/>
      <c r="P557" s="11"/>
      <c r="Q557" s="11"/>
      <c r="R557" s="11"/>
      <c r="S557" s="24" t="s">
        <v>30</v>
      </c>
      <c r="T557" s="24"/>
      <c r="U557" s="24"/>
      <c r="V557" s="24"/>
    </row>
    <row r="558" spans="1:22" ht="38.25">
      <c r="A558" s="10" t="s">
        <v>860</v>
      </c>
      <c r="B558" s="11" t="str">
        <f>IFERROR(VLOOKUP(A558,Systems!A:B,2,FALSE),"Various")</f>
        <v>Steering gear system</v>
      </c>
      <c r="C558" s="11" t="s">
        <v>1080</v>
      </c>
      <c r="D558" s="11"/>
      <c r="E558" s="11"/>
      <c r="F558" s="24" t="s">
        <v>1067</v>
      </c>
      <c r="G558" s="38"/>
      <c r="H558" s="11" t="s">
        <v>1571</v>
      </c>
      <c r="I558" s="11"/>
      <c r="J558" s="11"/>
      <c r="K558" s="11"/>
      <c r="L558" s="11"/>
      <c r="M558" s="11"/>
      <c r="N558" s="11"/>
      <c r="O558" s="11"/>
      <c r="P558" s="11"/>
      <c r="Q558" s="11"/>
      <c r="R558" s="11"/>
      <c r="S558" s="24" t="s">
        <v>30</v>
      </c>
      <c r="T558" s="24"/>
      <c r="U558" s="24"/>
      <c r="V558" s="24"/>
    </row>
    <row r="559" spans="1:22" ht="25.5">
      <c r="A559" s="10" t="s">
        <v>242</v>
      </c>
      <c r="B559" s="11" t="str">
        <f>IFERROR(VLOOKUP(A559,Systems!A:B,2,FALSE),"Various")</f>
        <v>Sounding and de-aeration</v>
      </c>
      <c r="C559" s="11" t="s">
        <v>1082</v>
      </c>
      <c r="D559" s="11"/>
      <c r="E559" s="11"/>
      <c r="F559" s="24" t="s">
        <v>1067</v>
      </c>
      <c r="G559" s="38"/>
      <c r="H559" s="11" t="s">
        <v>1573</v>
      </c>
      <c r="I559" s="11"/>
      <c r="J559" s="11"/>
      <c r="K559" s="11"/>
      <c r="L559" s="11"/>
      <c r="M559" s="11"/>
      <c r="N559" s="11"/>
      <c r="O559" s="11"/>
      <c r="P559" s="11"/>
      <c r="Q559" s="11"/>
      <c r="R559" s="11"/>
      <c r="S559" s="24" t="s">
        <v>30</v>
      </c>
      <c r="T559" s="24"/>
      <c r="U559" s="24"/>
      <c r="V559" s="24"/>
    </row>
    <row r="560" spans="1:22" ht="178.5">
      <c r="A560" s="10" t="s">
        <v>242</v>
      </c>
      <c r="B560" s="11" t="str">
        <f>IFERROR(VLOOKUP(A560,Systems!A:B,2,FALSE),"Various")</f>
        <v>Sounding and de-aeration</v>
      </c>
      <c r="C560" s="11" t="s">
        <v>1221</v>
      </c>
      <c r="D560" s="11"/>
      <c r="E560" s="11"/>
      <c r="F560" s="24" t="s">
        <v>1223</v>
      </c>
      <c r="G560" s="38"/>
      <c r="H560" s="11" t="s">
        <v>1222</v>
      </c>
      <c r="I560" s="11"/>
      <c r="J560" s="11"/>
      <c r="K560" s="11"/>
      <c r="L560" s="11"/>
      <c r="M560" s="11"/>
      <c r="N560" s="11"/>
      <c r="O560" s="11"/>
      <c r="P560" s="11"/>
      <c r="Q560" s="11"/>
      <c r="R560" s="11"/>
      <c r="S560" s="24" t="s">
        <v>30</v>
      </c>
      <c r="T560" s="24"/>
      <c r="U560" s="24"/>
      <c r="V560" s="24"/>
    </row>
    <row r="561" spans="1:22" ht="114.75">
      <c r="A561" s="10" t="s">
        <v>577</v>
      </c>
      <c r="B561" s="11" t="str">
        <f>IFERROR(VLOOKUP(A561,Systems!A:B,2,FALSE),"Various")</f>
        <v>Internal deck scuppers / drain pipes</v>
      </c>
      <c r="C561" s="11" t="s">
        <v>1066</v>
      </c>
      <c r="D561" s="11"/>
      <c r="E561" s="11"/>
      <c r="F561" s="24" t="s">
        <v>1065</v>
      </c>
      <c r="G561" s="38"/>
      <c r="H561" s="11" t="s">
        <v>1574</v>
      </c>
      <c r="I561" s="11"/>
      <c r="J561" s="11"/>
      <c r="K561" s="11"/>
      <c r="L561" s="11"/>
      <c r="M561" s="11"/>
      <c r="N561" s="11"/>
      <c r="O561" s="11"/>
      <c r="P561" s="11"/>
      <c r="Q561" s="11"/>
      <c r="R561" s="11"/>
      <c r="S561" s="24" t="s">
        <v>30</v>
      </c>
      <c r="T561" s="24"/>
      <c r="U561" s="24"/>
      <c r="V561" s="24"/>
    </row>
    <row r="562" spans="1:22" ht="76.5">
      <c r="A562" s="10" t="s">
        <v>577</v>
      </c>
      <c r="B562" s="11" t="str">
        <f>IFERROR(VLOOKUP(A562,Systems!A:B,2,FALSE),"Various")</f>
        <v>Internal deck scuppers / drain pipes</v>
      </c>
      <c r="C562" s="11" t="s">
        <v>1066</v>
      </c>
      <c r="D562" s="11"/>
      <c r="E562" s="11"/>
      <c r="F562" s="24" t="s">
        <v>1065</v>
      </c>
      <c r="G562" s="38"/>
      <c r="H562" s="11" t="s">
        <v>1575</v>
      </c>
      <c r="I562" s="11"/>
      <c r="J562" s="11"/>
      <c r="K562" s="11"/>
      <c r="L562" s="11"/>
      <c r="M562" s="11"/>
      <c r="N562" s="11"/>
      <c r="O562" s="11"/>
      <c r="P562" s="11"/>
      <c r="Q562" s="11"/>
      <c r="R562" s="11"/>
      <c r="S562" s="24"/>
      <c r="T562" s="24"/>
      <c r="U562" s="24"/>
      <c r="V562" s="24"/>
    </row>
    <row r="563" spans="1:22" ht="140.25">
      <c r="A563" s="10" t="s">
        <v>860</v>
      </c>
      <c r="B563" s="11" t="str">
        <f>IFERROR(VLOOKUP(A563,Systems!A:B,2,FALSE),"Various")</f>
        <v>Steering gear system</v>
      </c>
      <c r="C563" s="11" t="s">
        <v>1083</v>
      </c>
      <c r="D563" s="11"/>
      <c r="E563" s="11"/>
      <c r="F563" s="24" t="s">
        <v>1084</v>
      </c>
      <c r="G563" s="38"/>
      <c r="H563" s="11" t="s">
        <v>1576</v>
      </c>
      <c r="I563" s="11"/>
      <c r="J563" s="11"/>
      <c r="K563" s="11"/>
      <c r="L563" s="11"/>
      <c r="M563" s="11"/>
      <c r="N563" s="11"/>
      <c r="O563" s="11"/>
      <c r="P563" s="11"/>
      <c r="Q563" s="11"/>
      <c r="R563" s="11"/>
      <c r="S563" s="24" t="s">
        <v>30</v>
      </c>
      <c r="T563" s="24"/>
      <c r="U563" s="24"/>
      <c r="V563" s="24"/>
    </row>
    <row r="564" spans="1:22" ht="178.5">
      <c r="A564" s="10" t="s">
        <v>224</v>
      </c>
      <c r="B564" s="11" t="str">
        <f>IFERROR(VLOOKUP(A564,Systems!A:B,2,FALSE),"Various")</f>
        <v>Bilge system</v>
      </c>
      <c r="C564" s="11" t="s">
        <v>62</v>
      </c>
      <c r="D564" s="11"/>
      <c r="E564" s="11"/>
      <c r="F564" s="24" t="s">
        <v>1067</v>
      </c>
      <c r="G564" s="38"/>
      <c r="H564" s="11" t="s">
        <v>231</v>
      </c>
      <c r="I564" s="11"/>
      <c r="J564" s="11"/>
      <c r="K564" s="11"/>
      <c r="L564" s="11"/>
      <c r="M564" s="11"/>
      <c r="N564" s="11"/>
      <c r="O564" s="11" t="s">
        <v>669</v>
      </c>
      <c r="P564" s="11" t="s">
        <v>231</v>
      </c>
      <c r="Q564" s="11"/>
      <c r="R564" s="11"/>
      <c r="S564" s="24" t="s">
        <v>30</v>
      </c>
      <c r="T564" s="24"/>
      <c r="U564" s="24"/>
      <c r="V564" s="24"/>
    </row>
    <row r="565" spans="1:22" ht="51">
      <c r="A565" s="10" t="s">
        <v>242</v>
      </c>
      <c r="B565" s="11" t="str">
        <f>IFERROR(VLOOKUP(A565,Systems!A:B,2,FALSE),"Various")</f>
        <v>Sounding and de-aeration</v>
      </c>
      <c r="C565" s="11" t="s">
        <v>385</v>
      </c>
      <c r="D565" s="11"/>
      <c r="E565" s="11"/>
      <c r="F565" s="24" t="s">
        <v>1067</v>
      </c>
      <c r="G565" s="38"/>
      <c r="H565" s="11" t="s">
        <v>384</v>
      </c>
      <c r="I565" s="11"/>
      <c r="J565" s="11"/>
      <c r="K565" s="11"/>
      <c r="L565" s="11"/>
      <c r="M565" s="11"/>
      <c r="N565" s="11"/>
      <c r="O565" s="11"/>
      <c r="P565" s="11" t="s">
        <v>384</v>
      </c>
      <c r="Q565" s="11"/>
      <c r="R565" s="11"/>
      <c r="S565" s="24" t="s">
        <v>30</v>
      </c>
      <c r="T565" s="24"/>
      <c r="U565" s="24" t="s">
        <v>30</v>
      </c>
      <c r="V565" s="24"/>
    </row>
    <row r="566" spans="1:22" ht="331.5">
      <c r="A566" s="10" t="s">
        <v>173</v>
      </c>
      <c r="B566" s="11" t="str">
        <f>IFERROR(VLOOKUP(A566,Systems!A:B,2,FALSE),"Various")</f>
        <v>Deckwash / internal fifi system</v>
      </c>
      <c r="C566" s="11" t="s">
        <v>64</v>
      </c>
      <c r="D566" s="11"/>
      <c r="E566" s="11"/>
      <c r="F566" s="24" t="s">
        <v>1067</v>
      </c>
      <c r="G566" s="38"/>
      <c r="H566" s="11" t="s">
        <v>337</v>
      </c>
      <c r="I566" s="11"/>
      <c r="J566" s="11"/>
      <c r="K566" s="11"/>
      <c r="L566" s="11"/>
      <c r="M566" s="11"/>
      <c r="N566" s="11"/>
      <c r="O566" s="11"/>
      <c r="P566" s="11" t="s">
        <v>337</v>
      </c>
      <c r="Q566" s="11"/>
      <c r="R566" s="11"/>
      <c r="S566" s="24" t="s">
        <v>30</v>
      </c>
      <c r="T566" s="24"/>
      <c r="U566" s="24"/>
      <c r="V566" s="24"/>
    </row>
    <row r="567" spans="1:22" ht="51">
      <c r="A567" s="10" t="s">
        <v>173</v>
      </c>
      <c r="B567" s="11" t="str">
        <f>IFERROR(VLOOKUP(A567,Systems!A:B,2,FALSE),"Various")</f>
        <v>Deckwash / internal fifi system</v>
      </c>
      <c r="C567" s="11" t="s">
        <v>547</v>
      </c>
      <c r="D567" s="11"/>
      <c r="E567" s="11"/>
      <c r="F567" s="24" t="s">
        <v>1067</v>
      </c>
      <c r="G567" s="38"/>
      <c r="H567" s="11" t="s">
        <v>546</v>
      </c>
      <c r="I567" s="11"/>
      <c r="J567" s="11"/>
      <c r="K567" s="11"/>
      <c r="L567" s="11"/>
      <c r="M567" s="11"/>
      <c r="N567" s="11"/>
      <c r="O567" s="11"/>
      <c r="P567" s="11" t="s">
        <v>546</v>
      </c>
      <c r="Q567" s="11"/>
      <c r="R567" s="11"/>
      <c r="S567" s="24" t="s">
        <v>30</v>
      </c>
      <c r="T567" s="24"/>
      <c r="U567" s="24"/>
      <c r="V567" s="24"/>
    </row>
    <row r="568" spans="1:22" ht="382.5">
      <c r="A568" s="10" t="s">
        <v>173</v>
      </c>
      <c r="B568" s="11" t="str">
        <f>IFERROR(VLOOKUP(A568,Systems!A:B,2,FALSE),"Various")</f>
        <v>Deckwash / internal fifi system</v>
      </c>
      <c r="C568" s="11" t="s">
        <v>548</v>
      </c>
      <c r="D568" s="11"/>
      <c r="E568" s="11"/>
      <c r="F568" s="24" t="s">
        <v>1067</v>
      </c>
      <c r="G568" s="38"/>
      <c r="H568" s="11" t="s">
        <v>549</v>
      </c>
      <c r="I568" s="11"/>
      <c r="J568" s="11"/>
      <c r="K568" s="11"/>
      <c r="L568" s="11"/>
      <c r="M568" s="11"/>
      <c r="N568" s="11"/>
      <c r="O568" s="11"/>
      <c r="P568" s="11" t="s">
        <v>549</v>
      </c>
      <c r="Q568" s="11"/>
      <c r="R568" s="11"/>
      <c r="S568" s="24" t="s">
        <v>30</v>
      </c>
      <c r="T568" s="24"/>
      <c r="U568" s="24" t="str">
        <f>IF(OR(NOT(H568=""),NOT(M568="")),"","x")</f>
        <v/>
      </c>
      <c r="V568" s="24"/>
    </row>
    <row r="569" spans="1:22" ht="76.5">
      <c r="A569" s="10" t="s">
        <v>187</v>
      </c>
      <c r="B569" s="11" t="str">
        <f>IFERROR(VLOOKUP(A569,Systems!A:B,2,FALSE),"Various")</f>
        <v>Piping common</v>
      </c>
      <c r="C569" s="11" t="s">
        <v>65</v>
      </c>
      <c r="D569" s="11"/>
      <c r="E569" s="11"/>
      <c r="F569" s="24" t="s">
        <v>1067</v>
      </c>
      <c r="G569" s="38"/>
      <c r="H569" s="11" t="s">
        <v>251</v>
      </c>
      <c r="I569" s="11"/>
      <c r="J569" s="11"/>
      <c r="K569" s="11"/>
      <c r="L569" s="11"/>
      <c r="M569" s="11"/>
      <c r="N569" s="11"/>
      <c r="O569" s="11"/>
      <c r="P569" s="11" t="s">
        <v>251</v>
      </c>
      <c r="Q569" s="11"/>
      <c r="R569" s="11"/>
      <c r="S569" s="24" t="s">
        <v>30</v>
      </c>
      <c r="T569" s="24"/>
      <c r="U569" s="24" t="str">
        <f>IF(OR(NOT(H569=""),NOT(M569="")),"","x")</f>
        <v/>
      </c>
      <c r="V569" s="24"/>
    </row>
    <row r="570" spans="1:22" ht="38.25">
      <c r="A570" s="10" t="s">
        <v>847</v>
      </c>
      <c r="B570" s="11" t="str">
        <f>IFERROR(VLOOKUP(A570,Systems!A:B,2,FALSE),"Various")</f>
        <v>Stairs / ladders / climbing steps</v>
      </c>
      <c r="C570" s="11" t="s">
        <v>65</v>
      </c>
      <c r="D570" s="11"/>
      <c r="E570" s="11"/>
      <c r="F570" s="24" t="s">
        <v>1067</v>
      </c>
      <c r="G570" s="38"/>
      <c r="H570" s="11" t="s">
        <v>258</v>
      </c>
      <c r="I570" s="11"/>
      <c r="J570" s="11"/>
      <c r="K570" s="11"/>
      <c r="L570" s="11"/>
      <c r="M570" s="11"/>
      <c r="N570" s="11"/>
      <c r="O570" s="11"/>
      <c r="P570" s="11" t="s">
        <v>258</v>
      </c>
      <c r="Q570" s="11"/>
      <c r="R570" s="11"/>
      <c r="S570" s="24" t="s">
        <v>1305</v>
      </c>
      <c r="T570" s="24"/>
      <c r="U570" s="24"/>
      <c r="V570" s="24"/>
    </row>
    <row r="571" spans="1:22" ht="306">
      <c r="A571" s="10" t="s">
        <v>173</v>
      </c>
      <c r="B571" s="11" t="str">
        <f>IFERROR(VLOOKUP(A571,Systems!A:B,2,FALSE),"Various")</f>
        <v>Deckwash / internal fifi system</v>
      </c>
      <c r="C571" s="11" t="s">
        <v>343</v>
      </c>
      <c r="D571" s="11"/>
      <c r="E571" s="11"/>
      <c r="F571" s="24" t="s">
        <v>1067</v>
      </c>
      <c r="G571" s="38"/>
      <c r="H571" s="11" t="s">
        <v>341</v>
      </c>
      <c r="I571" s="11"/>
      <c r="J571" s="11"/>
      <c r="K571" s="11"/>
      <c r="L571" s="11"/>
      <c r="M571" s="11"/>
      <c r="N571" s="11"/>
      <c r="O571" s="11"/>
      <c r="P571" s="11" t="s">
        <v>341</v>
      </c>
      <c r="Q571" s="11"/>
      <c r="R571" s="11"/>
      <c r="S571" s="24" t="s">
        <v>1305</v>
      </c>
      <c r="T571" s="24"/>
      <c r="U571" s="24"/>
      <c r="V571" s="24"/>
    </row>
    <row r="572" spans="1:22" ht="63.75">
      <c r="A572" s="10" t="s">
        <v>814</v>
      </c>
      <c r="B572" s="11" t="str">
        <f>IFERROR(VLOOKUP(A572,Systems!A:B,2,FALSE),"Various")</f>
        <v>Fixed internal fifi system</v>
      </c>
      <c r="C572" s="11" t="s">
        <v>344</v>
      </c>
      <c r="D572" s="11"/>
      <c r="E572" s="11"/>
      <c r="F572" s="24" t="s">
        <v>1067</v>
      </c>
      <c r="G572" s="38"/>
      <c r="H572" s="11" t="s">
        <v>342</v>
      </c>
      <c r="I572" s="11"/>
      <c r="J572" s="11"/>
      <c r="K572" s="11"/>
      <c r="L572" s="11"/>
      <c r="M572" s="11"/>
      <c r="N572" s="11"/>
      <c r="O572" s="11"/>
      <c r="P572" s="11" t="s">
        <v>342</v>
      </c>
      <c r="Q572" s="11"/>
      <c r="R572" s="11"/>
      <c r="S572" s="24" t="s">
        <v>1305</v>
      </c>
      <c r="T572" s="24"/>
      <c r="U572" s="24"/>
      <c r="V572" s="24"/>
    </row>
    <row r="573" spans="1:22" ht="76.5">
      <c r="A573" s="10" t="s">
        <v>814</v>
      </c>
      <c r="B573" s="11" t="str">
        <f>IFERROR(VLOOKUP(A573,Systems!A:B,2,FALSE),"Various")</f>
        <v>Fixed internal fifi system</v>
      </c>
      <c r="C573" s="11" t="s">
        <v>345</v>
      </c>
      <c r="D573" s="11"/>
      <c r="E573" s="11"/>
      <c r="F573" s="24" t="s">
        <v>1067</v>
      </c>
      <c r="G573" s="38"/>
      <c r="H573" s="11" t="s">
        <v>338</v>
      </c>
      <c r="I573" s="11"/>
      <c r="J573" s="11"/>
      <c r="K573" s="11"/>
      <c r="L573" s="11"/>
      <c r="M573" s="11"/>
      <c r="N573" s="11"/>
      <c r="O573" s="11"/>
      <c r="P573" s="11" t="s">
        <v>338</v>
      </c>
      <c r="Q573" s="11"/>
      <c r="R573" s="11"/>
      <c r="S573" s="24" t="s">
        <v>1305</v>
      </c>
      <c r="T573" s="24"/>
      <c r="U573" s="24"/>
      <c r="V573" s="24"/>
    </row>
    <row r="574" spans="1:22" ht="76.5">
      <c r="A574" s="10" t="s">
        <v>847</v>
      </c>
      <c r="B574" s="11" t="str">
        <f>IFERROR(VLOOKUP(A574,Systems!A:B,2,FALSE),"Various")</f>
        <v>Stairs / ladders / climbing steps</v>
      </c>
      <c r="C574" s="11" t="s">
        <v>66</v>
      </c>
      <c r="D574" s="11"/>
      <c r="E574" s="11"/>
      <c r="F574" s="24" t="s">
        <v>1067</v>
      </c>
      <c r="G574" s="38"/>
      <c r="H574" s="11" t="s">
        <v>259</v>
      </c>
      <c r="I574" s="11"/>
      <c r="J574" s="11"/>
      <c r="K574" s="11"/>
      <c r="L574" s="11"/>
      <c r="M574" s="11"/>
      <c r="N574" s="11"/>
      <c r="O574" s="11"/>
      <c r="P574" s="11" t="s">
        <v>259</v>
      </c>
      <c r="Q574" s="11"/>
      <c r="R574" s="11"/>
      <c r="S574" s="24" t="s">
        <v>30</v>
      </c>
      <c r="T574" s="24"/>
      <c r="U574" s="24"/>
      <c r="V574" s="24"/>
    </row>
    <row r="575" spans="1:22" ht="140.25">
      <c r="A575" s="10" t="s">
        <v>848</v>
      </c>
      <c r="B575" s="11" t="str">
        <f>IFERROR(VLOOKUP(A575,Systems!A:B,2,FALSE),"Various")</f>
        <v>Railings / handrails / grips</v>
      </c>
      <c r="C575" s="11" t="s">
        <v>262</v>
      </c>
      <c r="D575" s="11"/>
      <c r="E575" s="11"/>
      <c r="F575" s="24" t="s">
        <v>1067</v>
      </c>
      <c r="G575" s="38"/>
      <c r="H575" s="11" t="s">
        <v>261</v>
      </c>
      <c r="I575" s="11"/>
      <c r="J575" s="11"/>
      <c r="K575" s="11"/>
      <c r="L575" s="11"/>
      <c r="M575" s="11" t="s">
        <v>899</v>
      </c>
      <c r="N575" s="11"/>
      <c r="O575" s="11"/>
      <c r="P575" s="11" t="s">
        <v>261</v>
      </c>
      <c r="Q575" s="11"/>
      <c r="R575" s="11"/>
      <c r="S575" s="24" t="s">
        <v>30</v>
      </c>
      <c r="T575" s="24"/>
      <c r="U575" s="24" t="str">
        <f>IF(OR(NOT(H575=""),NOT(M575="")),"","x")</f>
        <v/>
      </c>
      <c r="V575" s="24"/>
    </row>
    <row r="576" spans="1:22" ht="38.25">
      <c r="A576" s="10" t="s">
        <v>224</v>
      </c>
      <c r="B576" s="11" t="str">
        <f>IFERROR(VLOOKUP(A576,Systems!A:B,2,FALSE),"Various")</f>
        <v>Bilge system</v>
      </c>
      <c r="C576" s="11" t="s">
        <v>1100</v>
      </c>
      <c r="D576" s="11"/>
      <c r="E576" s="11"/>
      <c r="F576" s="24" t="s">
        <v>1067</v>
      </c>
      <c r="G576" s="38"/>
      <c r="H576" s="11" t="s">
        <v>1099</v>
      </c>
      <c r="I576" s="11"/>
      <c r="J576" s="11"/>
      <c r="K576" s="11"/>
      <c r="L576" s="11"/>
      <c r="M576" s="11"/>
      <c r="N576" s="11"/>
      <c r="O576" s="11"/>
      <c r="P576" s="11" t="s">
        <v>1099</v>
      </c>
      <c r="Q576" s="11"/>
      <c r="R576" s="11"/>
      <c r="S576" s="24" t="s">
        <v>30</v>
      </c>
      <c r="T576" s="24"/>
      <c r="U576" s="24"/>
      <c r="V576" s="24"/>
    </row>
    <row r="577" spans="1:22" ht="89.25">
      <c r="A577" s="10" t="s">
        <v>224</v>
      </c>
      <c r="B577" s="11" t="str">
        <f>IFERROR(VLOOKUP(A577,Systems!A:B,2,FALSE),"Various")</f>
        <v>Bilge system</v>
      </c>
      <c r="C577" s="11" t="s">
        <v>989</v>
      </c>
      <c r="D577" s="11"/>
      <c r="E577" s="11"/>
      <c r="F577" s="24" t="s">
        <v>1067</v>
      </c>
      <c r="G577" s="38"/>
      <c r="H577" s="11" t="s">
        <v>1101</v>
      </c>
      <c r="I577" s="11"/>
      <c r="J577" s="11"/>
      <c r="K577" s="11"/>
      <c r="L577" s="11"/>
      <c r="M577" s="11"/>
      <c r="N577" s="11"/>
      <c r="O577" s="11"/>
      <c r="P577" s="11" t="s">
        <v>1101</v>
      </c>
      <c r="Q577" s="11"/>
      <c r="R577" s="11"/>
      <c r="S577" s="34"/>
      <c r="T577" s="34"/>
      <c r="U577" s="34"/>
      <c r="V577" s="34"/>
    </row>
    <row r="578" spans="1:22" ht="255">
      <c r="A578" s="10" t="s">
        <v>167</v>
      </c>
      <c r="B578" s="11" t="str">
        <f>IFERROR(VLOOKUP(A578,Systems!A:B,2,FALSE),"Various")</f>
        <v>Power generating system</v>
      </c>
      <c r="C578" s="11" t="s">
        <v>886</v>
      </c>
      <c r="D578" s="11"/>
      <c r="E578" s="11"/>
      <c r="F578" s="24" t="s">
        <v>1067</v>
      </c>
      <c r="G578" s="38"/>
      <c r="H578" s="11" t="s">
        <v>887</v>
      </c>
      <c r="I578" s="11"/>
      <c r="J578" s="11"/>
      <c r="K578" s="11"/>
      <c r="L578" s="11"/>
      <c r="M578" s="11"/>
      <c r="N578" s="11" t="s">
        <v>890</v>
      </c>
      <c r="O578" s="11"/>
      <c r="P578" s="11" t="s">
        <v>887</v>
      </c>
      <c r="Q578" s="11"/>
      <c r="R578" s="11"/>
      <c r="S578" s="24" t="s">
        <v>30</v>
      </c>
      <c r="T578" s="24"/>
      <c r="U578" s="24" t="str">
        <f t="shared" ref="U578:U591" si="13">IF(OR(NOT(H578=""),NOT(M578="")),"","x")</f>
        <v/>
      </c>
      <c r="V578" s="24"/>
    </row>
    <row r="579" spans="1:22" ht="204">
      <c r="A579" s="10" t="s">
        <v>167</v>
      </c>
      <c r="B579" s="11" t="str">
        <f>IFERROR(VLOOKUP(A579,Systems!A:B,2,FALSE),"Various")</f>
        <v>Power generating system</v>
      </c>
      <c r="C579" s="11" t="s">
        <v>453</v>
      </c>
      <c r="D579" s="11"/>
      <c r="E579" s="11"/>
      <c r="F579" s="24" t="s">
        <v>1067</v>
      </c>
      <c r="G579" s="38"/>
      <c r="H579" s="11" t="s">
        <v>452</v>
      </c>
      <c r="I579" s="11"/>
      <c r="J579" s="11"/>
      <c r="K579" s="11"/>
      <c r="L579" s="11"/>
      <c r="M579" s="11"/>
      <c r="N579" s="11"/>
      <c r="O579" s="11"/>
      <c r="P579" s="11" t="s">
        <v>452</v>
      </c>
      <c r="Q579" s="11"/>
      <c r="R579" s="11"/>
      <c r="S579" s="24" t="s">
        <v>30</v>
      </c>
      <c r="T579" s="24"/>
      <c r="U579" s="24" t="str">
        <f t="shared" si="13"/>
        <v/>
      </c>
      <c r="V579" s="24"/>
    </row>
    <row r="580" spans="1:22" ht="255">
      <c r="A580" s="10" t="s">
        <v>167</v>
      </c>
      <c r="B580" s="11" t="str">
        <f>IFERROR(VLOOKUP(A580,Systems!A:B,2,FALSE),"Various")</f>
        <v>Power generating system</v>
      </c>
      <c r="C580" s="11" t="s">
        <v>884</v>
      </c>
      <c r="D580" s="11"/>
      <c r="E580" s="11"/>
      <c r="F580" s="24" t="s">
        <v>1067</v>
      </c>
      <c r="G580" s="38"/>
      <c r="H580" s="11" t="s">
        <v>1102</v>
      </c>
      <c r="I580" s="11"/>
      <c r="J580" s="11"/>
      <c r="K580" s="11"/>
      <c r="L580" s="11"/>
      <c r="M580" s="11"/>
      <c r="N580" s="11" t="s">
        <v>891</v>
      </c>
      <c r="O580" s="11"/>
      <c r="P580" s="11" t="s">
        <v>888</v>
      </c>
      <c r="Q580" s="11"/>
      <c r="R580" s="11"/>
      <c r="S580" s="24" t="s">
        <v>30</v>
      </c>
      <c r="T580" s="24"/>
      <c r="U580" s="24" t="str">
        <f t="shared" si="13"/>
        <v/>
      </c>
      <c r="V580" s="24"/>
    </row>
    <row r="581" spans="1:22" ht="242.25">
      <c r="A581" s="10" t="s">
        <v>167</v>
      </c>
      <c r="B581" s="11" t="str">
        <f>IFERROR(VLOOKUP(A581,Systems!A:B,2,FALSE),"Various")</f>
        <v>Power generating system</v>
      </c>
      <c r="C581" s="11" t="s">
        <v>885</v>
      </c>
      <c r="D581" s="11"/>
      <c r="E581" s="11"/>
      <c r="F581" s="24" t="s">
        <v>1067</v>
      </c>
      <c r="G581" s="38"/>
      <c r="H581" s="11" t="s">
        <v>889</v>
      </c>
      <c r="I581" s="11"/>
      <c r="J581" s="11"/>
      <c r="K581" s="11"/>
      <c r="L581" s="11"/>
      <c r="M581" s="11"/>
      <c r="N581" s="11" t="s">
        <v>892</v>
      </c>
      <c r="O581" s="11"/>
      <c r="P581" s="11" t="s">
        <v>889</v>
      </c>
      <c r="Q581" s="11"/>
      <c r="R581" s="11"/>
      <c r="S581" s="24" t="s">
        <v>30</v>
      </c>
      <c r="T581" s="24"/>
      <c r="U581" s="24" t="str">
        <f t="shared" si="13"/>
        <v/>
      </c>
      <c r="V581" s="24"/>
    </row>
    <row r="582" spans="1:22" ht="25.5">
      <c r="A582" s="10" t="s">
        <v>187</v>
      </c>
      <c r="B582" s="11" t="str">
        <f>IFERROR(VLOOKUP(A582,Systems!A:B,2,FALSE),"Various")</f>
        <v>Piping common</v>
      </c>
      <c r="C582" s="11" t="s">
        <v>250</v>
      </c>
      <c r="D582" s="11"/>
      <c r="E582" s="11"/>
      <c r="F582" s="24" t="s">
        <v>1067</v>
      </c>
      <c r="G582" s="38"/>
      <c r="H582" s="11" t="s">
        <v>249</v>
      </c>
      <c r="I582" s="11"/>
      <c r="J582" s="11"/>
      <c r="K582" s="11"/>
      <c r="L582" s="11"/>
      <c r="M582" s="11"/>
      <c r="N582" s="11"/>
      <c r="O582" s="11"/>
      <c r="P582" s="11" t="s">
        <v>249</v>
      </c>
      <c r="Q582" s="11"/>
      <c r="R582" s="11"/>
      <c r="S582" s="24" t="s">
        <v>30</v>
      </c>
      <c r="T582" s="24" t="s">
        <v>30</v>
      </c>
      <c r="U582" s="24" t="str">
        <f t="shared" si="13"/>
        <v/>
      </c>
      <c r="V582" s="24"/>
    </row>
    <row r="583" spans="1:22" ht="293.25">
      <c r="A583" s="10" t="s">
        <v>569</v>
      </c>
      <c r="B583" s="11" t="str">
        <f>IFERROR(VLOOKUP(A583,Systems!A:B,2,FALSE),"Various")</f>
        <v>Sea water cooling system</v>
      </c>
      <c r="C583" s="11" t="s">
        <v>362</v>
      </c>
      <c r="D583" s="11"/>
      <c r="E583" s="11"/>
      <c r="F583" s="24" t="s">
        <v>1067</v>
      </c>
      <c r="G583" s="38"/>
      <c r="H583" s="11" t="s">
        <v>1440</v>
      </c>
      <c r="I583" s="11"/>
      <c r="J583" s="11"/>
      <c r="K583" s="11"/>
      <c r="L583" s="11"/>
      <c r="M583" s="11"/>
      <c r="N583" s="11"/>
      <c r="O583" s="11"/>
      <c r="P583" s="11" t="s">
        <v>358</v>
      </c>
      <c r="Q583" s="11"/>
      <c r="R583" s="11"/>
      <c r="S583" s="24" t="s">
        <v>30</v>
      </c>
      <c r="T583" s="24"/>
      <c r="U583" s="24" t="str">
        <f t="shared" si="13"/>
        <v/>
      </c>
      <c r="V583" s="24"/>
    </row>
    <row r="584" spans="1:22" ht="229.5">
      <c r="A584" s="10" t="s">
        <v>432</v>
      </c>
      <c r="B584" s="11" t="str">
        <f>IFERROR(VLOOKUP(A584,Systems!A:B,2,FALSE),"Various")</f>
        <v>HVAC system</v>
      </c>
      <c r="C584" s="11" t="s">
        <v>1258</v>
      </c>
      <c r="D584" s="11"/>
      <c r="E584" s="11"/>
      <c r="F584" s="24" t="s">
        <v>1067</v>
      </c>
      <c r="G584" s="38"/>
      <c r="H584" s="11" t="s">
        <v>1577</v>
      </c>
      <c r="I584" s="11"/>
      <c r="J584" s="11"/>
      <c r="K584" s="11"/>
      <c r="L584" s="11"/>
      <c r="M584" s="11"/>
      <c r="N584" s="11"/>
      <c r="O584" s="11"/>
      <c r="P584" s="11"/>
      <c r="Q584" s="11"/>
      <c r="R584" s="11"/>
      <c r="S584" s="24" t="s">
        <v>30</v>
      </c>
      <c r="T584" s="24"/>
      <c r="U584" s="24" t="str">
        <f t="shared" si="13"/>
        <v/>
      </c>
      <c r="V584" s="24"/>
    </row>
    <row r="585" spans="1:22" ht="63.75">
      <c r="A585" s="10" t="s">
        <v>1260</v>
      </c>
      <c r="B585" s="11" t="str">
        <f>IFERROR(VLOOKUP(A585,Systems!A:B,2,FALSE),"Various")</f>
        <v>Various</v>
      </c>
      <c r="C585" s="11" t="s">
        <v>1259</v>
      </c>
      <c r="D585" s="11"/>
      <c r="E585" s="11"/>
      <c r="F585" s="24" t="s">
        <v>1067</v>
      </c>
      <c r="G585" s="38"/>
      <c r="H585" s="11" t="s">
        <v>1578</v>
      </c>
      <c r="I585" s="11"/>
      <c r="J585" s="11"/>
      <c r="K585" s="11"/>
      <c r="L585" s="11"/>
      <c r="M585" s="11"/>
      <c r="N585" s="11"/>
      <c r="O585" s="11"/>
      <c r="P585" s="11"/>
      <c r="Q585" s="11"/>
      <c r="R585" s="11"/>
      <c r="S585" s="24" t="s">
        <v>30</v>
      </c>
      <c r="T585" s="24"/>
      <c r="U585" s="24" t="str">
        <f t="shared" si="13"/>
        <v/>
      </c>
      <c r="V585" s="24"/>
    </row>
    <row r="586" spans="1:22" ht="229.5">
      <c r="A586" s="10" t="s">
        <v>1218</v>
      </c>
      <c r="B586" s="11" t="str">
        <f>IFERROR(VLOOKUP(A586,Systems!A:B,2,FALSE),"Various")</f>
        <v>Various</v>
      </c>
      <c r="C586" s="11" t="s">
        <v>1217</v>
      </c>
      <c r="D586" s="11"/>
      <c r="E586" s="11"/>
      <c r="F586" s="24" t="s">
        <v>1067</v>
      </c>
      <c r="G586" s="38"/>
      <c r="H586" s="11" t="s">
        <v>1442</v>
      </c>
      <c r="I586" s="11"/>
      <c r="J586" s="11"/>
      <c r="K586" s="11"/>
      <c r="L586" s="11"/>
      <c r="M586" s="11"/>
      <c r="N586" s="11"/>
      <c r="O586" s="11"/>
      <c r="P586" s="11"/>
      <c r="Q586" s="11"/>
      <c r="R586" s="11"/>
      <c r="S586" s="24" t="s">
        <v>30</v>
      </c>
      <c r="T586" s="24" t="s">
        <v>30</v>
      </c>
      <c r="U586" s="24" t="str">
        <f t="shared" si="13"/>
        <v/>
      </c>
      <c r="V586" s="24"/>
    </row>
    <row r="587" spans="1:22" ht="204">
      <c r="A587" s="10" t="s">
        <v>1261</v>
      </c>
      <c r="B587" s="11" t="str">
        <f>IFERROR(VLOOKUP(A587,Systems!A:B,2,FALSE),"Various")</f>
        <v>Various</v>
      </c>
      <c r="C587" s="11" t="s">
        <v>1262</v>
      </c>
      <c r="D587" s="11"/>
      <c r="E587" s="11"/>
      <c r="F587" s="24" t="s">
        <v>1067</v>
      </c>
      <c r="G587" s="38"/>
      <c r="H587" s="11" t="s">
        <v>1579</v>
      </c>
      <c r="I587" s="11"/>
      <c r="J587" s="11"/>
      <c r="K587" s="11"/>
      <c r="L587" s="11"/>
      <c r="M587" s="11"/>
      <c r="N587" s="11"/>
      <c r="O587" s="11"/>
      <c r="P587" s="11"/>
      <c r="Q587" s="11"/>
      <c r="R587" s="11"/>
      <c r="S587" s="24" t="s">
        <v>30</v>
      </c>
      <c r="T587" s="24"/>
      <c r="U587" s="24" t="str">
        <f t="shared" si="13"/>
        <v/>
      </c>
      <c r="V587" s="24"/>
    </row>
    <row r="588" spans="1:22" ht="114.75">
      <c r="A588" s="10" t="s">
        <v>1263</v>
      </c>
      <c r="B588" s="11" t="str">
        <f>IFERROR(VLOOKUP(A588,Systems!A:B,2,FALSE),"Various")</f>
        <v>Various</v>
      </c>
      <c r="C588" s="11" t="s">
        <v>1262</v>
      </c>
      <c r="D588" s="11"/>
      <c r="E588" s="11"/>
      <c r="F588" s="24" t="s">
        <v>1067</v>
      </c>
      <c r="G588" s="38"/>
      <c r="H588" s="11" t="s">
        <v>1580</v>
      </c>
      <c r="I588" s="11"/>
      <c r="J588" s="11"/>
      <c r="K588" s="11"/>
      <c r="L588" s="11"/>
      <c r="M588" s="11"/>
      <c r="N588" s="11"/>
      <c r="O588" s="11"/>
      <c r="P588" s="11"/>
      <c r="Q588" s="11"/>
      <c r="R588" s="11"/>
      <c r="S588" s="24" t="s">
        <v>30</v>
      </c>
      <c r="T588" s="24"/>
      <c r="U588" s="24" t="str">
        <f t="shared" si="13"/>
        <v/>
      </c>
      <c r="V588" s="24"/>
    </row>
    <row r="589" spans="1:22" ht="89.25">
      <c r="A589" s="10" t="s">
        <v>433</v>
      </c>
      <c r="B589" s="11" t="str">
        <f>IFERROR(VLOOKUP(A589,Systems!A:B,2,FALSE),"Various")</f>
        <v>Ventilation system</v>
      </c>
      <c r="C589" s="11" t="s">
        <v>1264</v>
      </c>
      <c r="D589" s="11"/>
      <c r="E589" s="11"/>
      <c r="F589" s="24" t="s">
        <v>1067</v>
      </c>
      <c r="G589" s="38"/>
      <c r="H589" s="11" t="s">
        <v>1825</v>
      </c>
      <c r="I589" s="11"/>
      <c r="J589" s="11"/>
      <c r="K589" s="11"/>
      <c r="L589" s="11"/>
      <c r="M589" s="11"/>
      <c r="N589" s="11"/>
      <c r="O589" s="11"/>
      <c r="P589" s="11"/>
      <c r="Q589" s="11"/>
      <c r="R589" s="11"/>
      <c r="S589" s="24" t="s">
        <v>30</v>
      </c>
      <c r="T589" s="24"/>
      <c r="U589" s="24" t="str">
        <f t="shared" si="13"/>
        <v/>
      </c>
      <c r="V589" s="24"/>
    </row>
    <row r="590" spans="1:22" ht="114.75">
      <c r="A590" s="10" t="s">
        <v>187</v>
      </c>
      <c r="B590" s="11" t="str">
        <f>IFERROR(VLOOKUP(A590,Systems!A:B,2,FALSE),"Various")</f>
        <v>Piping common</v>
      </c>
      <c r="C590" s="11" t="s">
        <v>1265</v>
      </c>
      <c r="D590" s="11"/>
      <c r="E590" s="11"/>
      <c r="F590" s="24" t="s">
        <v>1067</v>
      </c>
      <c r="G590" s="38"/>
      <c r="H590" s="11" t="s">
        <v>1581</v>
      </c>
      <c r="I590" s="11"/>
      <c r="J590" s="11"/>
      <c r="K590" s="11"/>
      <c r="L590" s="11"/>
      <c r="M590" s="11"/>
      <c r="N590" s="11"/>
      <c r="O590" s="11"/>
      <c r="P590" s="11"/>
      <c r="Q590" s="11"/>
      <c r="R590" s="11"/>
      <c r="S590" s="24" t="s">
        <v>30</v>
      </c>
      <c r="T590" s="24" t="s">
        <v>30</v>
      </c>
      <c r="U590" s="24" t="str">
        <f t="shared" si="13"/>
        <v/>
      </c>
      <c r="V590" s="24"/>
    </row>
    <row r="591" spans="1:22" ht="153">
      <c r="A591" s="10" t="s">
        <v>1273</v>
      </c>
      <c r="B591" s="11" t="str">
        <f>IFERROR(VLOOKUP(A591,Systems!A:B,2,FALSE),"Various")</f>
        <v>Various</v>
      </c>
      <c r="C591" s="11" t="s">
        <v>1266</v>
      </c>
      <c r="D591" s="11"/>
      <c r="E591" s="11"/>
      <c r="F591" s="24" t="s">
        <v>1067</v>
      </c>
      <c r="G591" s="38"/>
      <c r="H591" s="11" t="s">
        <v>1582</v>
      </c>
      <c r="I591" s="11"/>
      <c r="J591" s="11"/>
      <c r="K591" s="11"/>
      <c r="L591" s="11"/>
      <c r="M591" s="11"/>
      <c r="N591" s="11"/>
      <c r="O591" s="11"/>
      <c r="P591" s="11"/>
      <c r="Q591" s="11"/>
      <c r="R591" s="11"/>
      <c r="S591" s="24" t="s">
        <v>30</v>
      </c>
      <c r="T591" s="24"/>
      <c r="U591" s="24" t="str">
        <f t="shared" si="13"/>
        <v/>
      </c>
      <c r="V591" s="24"/>
    </row>
    <row r="592" spans="1:22" ht="63.75">
      <c r="A592" s="10" t="s">
        <v>573</v>
      </c>
      <c r="B592" s="11" t="str">
        <f>IFERROR(VLOOKUP(A592,Systems!A:B,2,FALSE),"Various")</f>
        <v>Fresh water supply system</v>
      </c>
      <c r="C592" s="11" t="s">
        <v>1267</v>
      </c>
      <c r="D592" s="11"/>
      <c r="E592" s="11"/>
      <c r="F592" s="24" t="s">
        <v>1067</v>
      </c>
      <c r="G592" s="38"/>
      <c r="H592" s="11" t="s">
        <v>1583</v>
      </c>
      <c r="I592" s="11"/>
      <c r="J592" s="11"/>
      <c r="K592" s="11"/>
      <c r="L592" s="11"/>
      <c r="M592" s="11"/>
      <c r="N592" s="11"/>
      <c r="O592" s="11"/>
      <c r="P592" s="11"/>
      <c r="Q592" s="11"/>
      <c r="R592" s="11"/>
      <c r="S592" s="24" t="s">
        <v>30</v>
      </c>
      <c r="T592" s="24"/>
      <c r="U592" s="24"/>
      <c r="V592" s="24"/>
    </row>
    <row r="593" spans="1:22" ht="38.25">
      <c r="A593" s="10" t="s">
        <v>1269</v>
      </c>
      <c r="B593" s="11" t="str">
        <f>IFERROR(VLOOKUP(A593,Systems!A:B,2,FALSE),"Various")</f>
        <v>Various</v>
      </c>
      <c r="C593" s="11" t="s">
        <v>1267</v>
      </c>
      <c r="D593" s="11"/>
      <c r="E593" s="11"/>
      <c r="F593" s="24" t="s">
        <v>1067</v>
      </c>
      <c r="G593" s="38"/>
      <c r="H593" s="11" t="s">
        <v>1584</v>
      </c>
      <c r="I593" s="11"/>
      <c r="J593" s="11"/>
      <c r="K593" s="11"/>
      <c r="L593" s="11"/>
      <c r="M593" s="11"/>
      <c r="N593" s="11"/>
      <c r="O593" s="11"/>
      <c r="P593" s="11"/>
      <c r="Q593" s="11"/>
      <c r="R593" s="11"/>
      <c r="S593" s="24" t="s">
        <v>30</v>
      </c>
      <c r="T593" s="24"/>
      <c r="U593" s="24"/>
      <c r="V593" s="24"/>
    </row>
    <row r="594" spans="1:22" ht="38.25">
      <c r="A594" s="10" t="s">
        <v>577</v>
      </c>
      <c r="B594" s="11" t="str">
        <f>IFERROR(VLOOKUP(A594,Systems!A:B,2,FALSE),"Various")</f>
        <v>Internal deck scuppers / drain pipes</v>
      </c>
      <c r="C594" s="11" t="s">
        <v>1267</v>
      </c>
      <c r="D594" s="11"/>
      <c r="E594" s="11"/>
      <c r="F594" s="24" t="s">
        <v>1067</v>
      </c>
      <c r="G594" s="38"/>
      <c r="H594" s="11" t="s">
        <v>1585</v>
      </c>
      <c r="I594" s="11"/>
      <c r="J594" s="11"/>
      <c r="K594" s="11"/>
      <c r="L594" s="11"/>
      <c r="M594" s="11"/>
      <c r="N594" s="11"/>
      <c r="O594" s="11"/>
      <c r="P594" s="11"/>
      <c r="Q594" s="11"/>
      <c r="R594" s="11"/>
      <c r="S594" s="24" t="s">
        <v>30</v>
      </c>
      <c r="T594" s="24" t="s">
        <v>30</v>
      </c>
      <c r="U594" s="24" t="str">
        <f t="shared" ref="U594:U599" si="14">IF(OR(NOT(H594=""),NOT(M594="")),"","x")</f>
        <v/>
      </c>
      <c r="V594" s="24"/>
    </row>
    <row r="595" spans="1:22" ht="38.25">
      <c r="A595" s="10" t="s">
        <v>797</v>
      </c>
      <c r="B595" s="11" t="str">
        <f>IFERROR(VLOOKUP(A595,Systems!A:B,2,FALSE),"Various")</f>
        <v>Working / control air system</v>
      </c>
      <c r="C595" s="11" t="s">
        <v>1267</v>
      </c>
      <c r="D595" s="11"/>
      <c r="E595" s="11"/>
      <c r="F595" s="24" t="s">
        <v>1067</v>
      </c>
      <c r="G595" s="38"/>
      <c r="H595" s="11" t="s">
        <v>1586</v>
      </c>
      <c r="I595" s="11"/>
      <c r="J595" s="11"/>
      <c r="K595" s="11"/>
      <c r="L595" s="11"/>
      <c r="M595" s="11"/>
      <c r="N595" s="11"/>
      <c r="O595" s="11"/>
      <c r="P595" s="11"/>
      <c r="Q595" s="11"/>
      <c r="R595" s="11"/>
      <c r="S595" s="24" t="s">
        <v>30</v>
      </c>
      <c r="T595" s="24" t="s">
        <v>30</v>
      </c>
      <c r="U595" s="24" t="str">
        <f t="shared" si="14"/>
        <v/>
      </c>
      <c r="V595" s="24"/>
    </row>
    <row r="596" spans="1:22" ht="63.75">
      <c r="A596" s="10" t="s">
        <v>433</v>
      </c>
      <c r="B596" s="11" t="str">
        <f>IFERROR(VLOOKUP(A596,Systems!A:B,2,FALSE),"Various")</f>
        <v>Ventilation system</v>
      </c>
      <c r="C596" s="11" t="s">
        <v>1267</v>
      </c>
      <c r="D596" s="11"/>
      <c r="E596" s="11"/>
      <c r="F596" s="24" t="s">
        <v>1067</v>
      </c>
      <c r="G596" s="38"/>
      <c r="H596" s="11" t="s">
        <v>1587</v>
      </c>
      <c r="I596" s="11"/>
      <c r="J596" s="11"/>
      <c r="K596" s="11"/>
      <c r="L596" s="11"/>
      <c r="M596" s="11"/>
      <c r="N596" s="11"/>
      <c r="O596" s="11"/>
      <c r="P596" s="11"/>
      <c r="Q596" s="11"/>
      <c r="R596" s="11"/>
      <c r="S596" s="24" t="s">
        <v>30</v>
      </c>
      <c r="T596" s="24" t="s">
        <v>30</v>
      </c>
      <c r="U596" s="24" t="str">
        <f t="shared" si="14"/>
        <v/>
      </c>
      <c r="V596" s="24"/>
    </row>
    <row r="597" spans="1:22" ht="51">
      <c r="A597" s="10" t="s">
        <v>163</v>
      </c>
      <c r="B597" s="11" t="str">
        <f>IFERROR(VLOOKUP(A597,Systems!A:B,2,FALSE),"Various")</f>
        <v>Air-conditioning system</v>
      </c>
      <c r="C597" s="11" t="s">
        <v>1268</v>
      </c>
      <c r="D597" s="11"/>
      <c r="E597" s="11"/>
      <c r="F597" s="24" t="s">
        <v>1067</v>
      </c>
      <c r="G597" s="38"/>
      <c r="H597" s="11" t="s">
        <v>1588</v>
      </c>
      <c r="I597" s="11"/>
      <c r="J597" s="11"/>
      <c r="K597" s="11"/>
      <c r="L597" s="11"/>
      <c r="M597" s="11"/>
      <c r="N597" s="11"/>
      <c r="O597" s="11"/>
      <c r="P597" s="11"/>
      <c r="Q597" s="11"/>
      <c r="R597" s="11"/>
      <c r="S597" s="24" t="s">
        <v>30</v>
      </c>
      <c r="T597" s="24"/>
      <c r="U597" s="24" t="str">
        <f t="shared" si="14"/>
        <v/>
      </c>
      <c r="V597" s="24"/>
    </row>
    <row r="598" spans="1:22" ht="114.75">
      <c r="A598" s="10" t="s">
        <v>187</v>
      </c>
      <c r="B598" s="11" t="str">
        <f>IFERROR(VLOOKUP(A598,Systems!A:B,2,FALSE),"Various")</f>
        <v>Piping common</v>
      </c>
      <c r="C598" s="11" t="s">
        <v>473</v>
      </c>
      <c r="D598" s="11"/>
      <c r="E598" s="11"/>
      <c r="F598" s="24" t="s">
        <v>1067</v>
      </c>
      <c r="G598" s="38"/>
      <c r="H598" s="11" t="s">
        <v>1589</v>
      </c>
      <c r="I598" s="11"/>
      <c r="J598" s="11"/>
      <c r="K598" s="11"/>
      <c r="L598" s="11"/>
      <c r="M598" s="11"/>
      <c r="N598" s="11"/>
      <c r="O598" s="11"/>
      <c r="P598" s="11"/>
      <c r="Q598" s="11"/>
      <c r="R598" s="11"/>
      <c r="S598" s="24" t="s">
        <v>30</v>
      </c>
      <c r="T598" s="24"/>
      <c r="U598" s="24" t="str">
        <f t="shared" si="14"/>
        <v/>
      </c>
      <c r="V598" s="24"/>
    </row>
    <row r="599" spans="1:22" ht="127.5">
      <c r="A599" s="10" t="s">
        <v>1271</v>
      </c>
      <c r="B599" s="11" t="str">
        <f>IFERROR(VLOOKUP(A599,Systems!A:B,2,FALSE),"Various")</f>
        <v>Various</v>
      </c>
      <c r="C599" s="11" t="s">
        <v>1270</v>
      </c>
      <c r="D599" s="11"/>
      <c r="E599" s="11"/>
      <c r="F599" s="24" t="s">
        <v>1067</v>
      </c>
      <c r="G599" s="38"/>
      <c r="H599" s="11" t="s">
        <v>1590</v>
      </c>
      <c r="I599" s="11"/>
      <c r="J599" s="11"/>
      <c r="K599" s="11"/>
      <c r="L599" s="11"/>
      <c r="M599" s="11"/>
      <c r="N599" s="11"/>
      <c r="O599" s="11"/>
      <c r="P599" s="11"/>
      <c r="Q599" s="11"/>
      <c r="R599" s="11"/>
      <c r="S599" s="24" t="s">
        <v>30</v>
      </c>
      <c r="T599" s="24"/>
      <c r="U599" s="24" t="str">
        <f t="shared" si="14"/>
        <v/>
      </c>
      <c r="V599" s="24"/>
    </row>
    <row r="600" spans="1:22" ht="89.25">
      <c r="A600" s="10" t="s">
        <v>1273</v>
      </c>
      <c r="B600" s="11" t="str">
        <f>IFERROR(VLOOKUP(A600,Systems!A:B,2,FALSE),"Various")</f>
        <v>Various</v>
      </c>
      <c r="C600" s="11" t="s">
        <v>1272</v>
      </c>
      <c r="D600" s="11"/>
      <c r="E600" s="11"/>
      <c r="F600" s="24" t="s">
        <v>1067</v>
      </c>
      <c r="G600" s="38"/>
      <c r="H600" s="11" t="s">
        <v>1591</v>
      </c>
      <c r="I600" s="11"/>
      <c r="J600" s="11"/>
      <c r="K600" s="11"/>
      <c r="L600" s="11"/>
      <c r="M600" s="11"/>
      <c r="N600" s="11"/>
      <c r="O600" s="11"/>
      <c r="P600" s="11"/>
      <c r="Q600" s="11"/>
      <c r="R600" s="11"/>
      <c r="S600" s="24" t="s">
        <v>30</v>
      </c>
      <c r="T600" s="24"/>
      <c r="U600" s="24"/>
      <c r="V600" s="24"/>
    </row>
    <row r="601" spans="1:22" ht="165.75">
      <c r="A601" s="10" t="s">
        <v>830</v>
      </c>
      <c r="B601" s="11" t="str">
        <f>IFERROR(VLOOKUP(A601,Systems!A:B,2,FALSE),"Various")</f>
        <v>Ballast system</v>
      </c>
      <c r="C601" s="11" t="s">
        <v>1274</v>
      </c>
      <c r="D601" s="11"/>
      <c r="E601" s="11"/>
      <c r="F601" s="24" t="s">
        <v>1067</v>
      </c>
      <c r="G601" s="38"/>
      <c r="H601" s="11" t="s">
        <v>1592</v>
      </c>
      <c r="I601" s="11"/>
      <c r="J601" s="11"/>
      <c r="K601" s="11"/>
      <c r="L601" s="11"/>
      <c r="M601" s="11"/>
      <c r="N601" s="11"/>
      <c r="O601" s="11"/>
      <c r="P601" s="11"/>
      <c r="Q601" s="11"/>
      <c r="R601" s="11"/>
      <c r="S601" s="24" t="s">
        <v>30</v>
      </c>
      <c r="T601" s="24"/>
      <c r="U601" s="24"/>
      <c r="V601" s="24"/>
    </row>
    <row r="602" spans="1:22" ht="25.5">
      <c r="A602" s="10" t="s">
        <v>1284</v>
      </c>
      <c r="B602" s="11" t="str">
        <f>IFERROR(VLOOKUP(A602,Systems!A:B,2,FALSE),"Various")</f>
        <v>Various</v>
      </c>
      <c r="C602" s="11" t="s">
        <v>1256</v>
      </c>
      <c r="D602" s="11"/>
      <c r="E602" s="11"/>
      <c r="F602" s="24" t="s">
        <v>1067</v>
      </c>
      <c r="G602" s="38"/>
      <c r="H602" s="11" t="s">
        <v>1593</v>
      </c>
      <c r="I602" s="11"/>
      <c r="J602" s="11"/>
      <c r="K602" s="11"/>
      <c r="L602" s="11"/>
      <c r="M602" s="11"/>
      <c r="N602" s="11"/>
      <c r="O602" s="11"/>
      <c r="P602" s="11"/>
      <c r="Q602" s="11"/>
      <c r="R602" s="11"/>
      <c r="S602" s="24" t="s">
        <v>30</v>
      </c>
      <c r="T602" s="24"/>
      <c r="U602" s="24"/>
      <c r="V602" s="24"/>
    </row>
    <row r="603" spans="1:22" ht="25.5">
      <c r="A603" s="10" t="s">
        <v>242</v>
      </c>
      <c r="B603" s="11" t="str">
        <f>IFERROR(VLOOKUP(A603,Systems!A:B,2,FALSE),"Various")</f>
        <v>Sounding and de-aeration</v>
      </c>
      <c r="C603" s="11" t="s">
        <v>1277</v>
      </c>
      <c r="D603" s="11"/>
      <c r="E603" s="11"/>
      <c r="F603" s="24" t="s">
        <v>1067</v>
      </c>
      <c r="G603" s="38"/>
      <c r="H603" s="11" t="s">
        <v>1594</v>
      </c>
      <c r="I603" s="11"/>
      <c r="J603" s="11"/>
      <c r="K603" s="11"/>
      <c r="L603" s="11"/>
      <c r="M603" s="11"/>
      <c r="N603" s="11"/>
      <c r="O603" s="11"/>
      <c r="P603" s="11"/>
      <c r="Q603" s="11"/>
      <c r="R603" s="11"/>
      <c r="S603" s="24" t="s">
        <v>30</v>
      </c>
      <c r="T603" s="24"/>
      <c r="U603" s="24"/>
      <c r="V603" s="24"/>
    </row>
    <row r="604" spans="1:22" ht="51">
      <c r="A604" s="10" t="s">
        <v>173</v>
      </c>
      <c r="B604" s="11" t="str">
        <f>IFERROR(VLOOKUP(A604,Systems!A:B,2,FALSE),"Various")</f>
        <v>Deckwash / internal fifi system</v>
      </c>
      <c r="C604" s="11" t="s">
        <v>1275</v>
      </c>
      <c r="D604" s="11"/>
      <c r="E604" s="11"/>
      <c r="F604" s="24" t="s">
        <v>1067</v>
      </c>
      <c r="G604" s="38"/>
      <c r="H604" s="11" t="s">
        <v>1595</v>
      </c>
      <c r="I604" s="11"/>
      <c r="J604" s="11"/>
      <c r="K604" s="11"/>
      <c r="L604" s="11"/>
      <c r="M604" s="11"/>
      <c r="N604" s="11"/>
      <c r="O604" s="11"/>
      <c r="P604" s="11"/>
      <c r="Q604" s="11"/>
      <c r="R604" s="11"/>
      <c r="S604" s="24" t="s">
        <v>30</v>
      </c>
      <c r="T604" s="24"/>
      <c r="U604" s="24"/>
      <c r="V604" s="24"/>
    </row>
    <row r="605" spans="1:22" ht="89.25">
      <c r="A605" s="10" t="s">
        <v>1276</v>
      </c>
      <c r="B605" s="11" t="str">
        <f>IFERROR(VLOOKUP(A605,Systems!A:B,2,FALSE),"Various")</f>
        <v>Various</v>
      </c>
      <c r="C605" s="11" t="s">
        <v>1275</v>
      </c>
      <c r="D605" s="11"/>
      <c r="E605" s="11"/>
      <c r="F605" s="24" t="s">
        <v>1067</v>
      </c>
      <c r="G605" s="38"/>
      <c r="H605" s="11" t="s">
        <v>1596</v>
      </c>
      <c r="I605" s="11"/>
      <c r="J605" s="11"/>
      <c r="K605" s="11"/>
      <c r="L605" s="11"/>
      <c r="M605" s="11"/>
      <c r="N605" s="11"/>
      <c r="O605" s="11"/>
      <c r="P605" s="11"/>
      <c r="Q605" s="11"/>
      <c r="R605" s="11"/>
      <c r="S605" s="24" t="s">
        <v>30</v>
      </c>
      <c r="T605" s="24"/>
      <c r="U605" s="24"/>
      <c r="V605" s="24"/>
    </row>
    <row r="606" spans="1:22" ht="357">
      <c r="A606" s="10" t="s">
        <v>1279</v>
      </c>
      <c r="B606" s="11" t="str">
        <f>IFERROR(VLOOKUP(A606,Systems!A:B,2,FALSE),"Various")</f>
        <v>Various</v>
      </c>
      <c r="C606" s="11" t="s">
        <v>1278</v>
      </c>
      <c r="D606" s="11"/>
      <c r="E606" s="11"/>
      <c r="F606" s="24" t="s">
        <v>1067</v>
      </c>
      <c r="G606" s="38"/>
      <c r="H606" s="11" t="s">
        <v>1597</v>
      </c>
      <c r="I606" s="11"/>
      <c r="J606" s="11"/>
      <c r="K606" s="11"/>
      <c r="L606" s="11"/>
      <c r="M606" s="11"/>
      <c r="N606" s="11"/>
      <c r="O606" s="11"/>
      <c r="P606" s="11"/>
      <c r="Q606" s="11"/>
      <c r="R606" s="11"/>
      <c r="S606" s="24" t="s">
        <v>30</v>
      </c>
      <c r="T606" s="24"/>
      <c r="U606" s="24"/>
      <c r="V606" s="24"/>
    </row>
    <row r="607" spans="1:22" ht="114.75">
      <c r="A607" s="10" t="s">
        <v>830</v>
      </c>
      <c r="B607" s="11" t="str">
        <f>IFERROR(VLOOKUP(A607,Systems!A:B,2,FALSE),"Various")</f>
        <v>Ballast system</v>
      </c>
      <c r="C607" s="11" t="s">
        <v>1280</v>
      </c>
      <c r="D607" s="11"/>
      <c r="E607" s="11"/>
      <c r="F607" s="24" t="s">
        <v>1067</v>
      </c>
      <c r="G607" s="38"/>
      <c r="H607" s="11" t="s">
        <v>1598</v>
      </c>
      <c r="I607" s="11"/>
      <c r="J607" s="11"/>
      <c r="K607" s="11"/>
      <c r="L607" s="11"/>
      <c r="M607" s="11"/>
      <c r="N607" s="11"/>
      <c r="O607" s="11"/>
      <c r="P607" s="11"/>
      <c r="Q607" s="11"/>
      <c r="R607" s="11"/>
      <c r="S607" s="24" t="s">
        <v>30</v>
      </c>
      <c r="T607" s="24"/>
      <c r="U607" s="24" t="str">
        <f t="shared" ref="U607:U612" si="15">IF(OR(NOT(H607=""),NOT(M607="")),"","x")</f>
        <v/>
      </c>
      <c r="V607" s="24"/>
    </row>
    <row r="608" spans="1:22" ht="153">
      <c r="A608" s="10" t="s">
        <v>578</v>
      </c>
      <c r="B608" s="11" t="str">
        <f>IFERROR(VLOOKUP(A608,Systems!A:B,2,FALSE),"Various")</f>
        <v>Remote tanksounding system</v>
      </c>
      <c r="C608" s="11" t="s">
        <v>1281</v>
      </c>
      <c r="D608" s="11"/>
      <c r="E608" s="11"/>
      <c r="F608" s="24" t="s">
        <v>1067</v>
      </c>
      <c r="G608" s="38"/>
      <c r="H608" s="11" t="s">
        <v>1599</v>
      </c>
      <c r="I608" s="11"/>
      <c r="J608" s="11"/>
      <c r="K608" s="11"/>
      <c r="L608" s="11"/>
      <c r="M608" s="11"/>
      <c r="N608" s="11"/>
      <c r="O608" s="11"/>
      <c r="P608" s="11"/>
      <c r="Q608" s="11"/>
      <c r="R608" s="11"/>
      <c r="S608" s="24" t="s">
        <v>30</v>
      </c>
      <c r="T608" s="24"/>
      <c r="U608" s="24" t="str">
        <f t="shared" si="15"/>
        <v/>
      </c>
      <c r="V608" s="24"/>
    </row>
    <row r="609" spans="1:22" ht="63.75">
      <c r="A609" s="10" t="s">
        <v>797</v>
      </c>
      <c r="B609" s="11" t="str">
        <f>IFERROR(VLOOKUP(A609,Systems!A:B,2,FALSE),"Various")</f>
        <v>Working / control air system</v>
      </c>
      <c r="C609" s="11" t="s">
        <v>1282</v>
      </c>
      <c r="D609" s="11"/>
      <c r="E609" s="11"/>
      <c r="F609" s="24" t="s">
        <v>1067</v>
      </c>
      <c r="G609" s="38"/>
      <c r="H609" s="11" t="s">
        <v>1600</v>
      </c>
      <c r="I609" s="11"/>
      <c r="J609" s="11"/>
      <c r="K609" s="11"/>
      <c r="L609" s="11"/>
      <c r="M609" s="11"/>
      <c r="N609" s="11"/>
      <c r="O609" s="11"/>
      <c r="P609" s="11"/>
      <c r="Q609" s="11"/>
      <c r="R609" s="11"/>
      <c r="S609" s="24" t="s">
        <v>30</v>
      </c>
      <c r="T609" s="24"/>
      <c r="U609" s="24" t="str">
        <f t="shared" si="15"/>
        <v/>
      </c>
      <c r="V609" s="24"/>
    </row>
    <row r="610" spans="1:22" ht="51">
      <c r="A610" s="10" t="s">
        <v>187</v>
      </c>
      <c r="B610" s="11" t="str">
        <f>IFERROR(VLOOKUP(A610,Systems!A:B,2,FALSE),"Various")</f>
        <v>Piping common</v>
      </c>
      <c r="C610" s="11" t="s">
        <v>1283</v>
      </c>
      <c r="D610" s="11"/>
      <c r="E610" s="11"/>
      <c r="F610" s="24" t="s">
        <v>1067</v>
      </c>
      <c r="G610" s="38"/>
      <c r="H610" s="11" t="s">
        <v>1601</v>
      </c>
      <c r="I610" s="11"/>
      <c r="J610" s="11"/>
      <c r="K610" s="11"/>
      <c r="L610" s="11"/>
      <c r="M610" s="11"/>
      <c r="N610" s="11"/>
      <c r="O610" s="11"/>
      <c r="P610" s="11"/>
      <c r="Q610" s="11"/>
      <c r="R610" s="11"/>
      <c r="S610" s="24"/>
      <c r="T610" s="24"/>
      <c r="U610" s="24" t="str">
        <f t="shared" si="15"/>
        <v/>
      </c>
      <c r="V610" s="24"/>
    </row>
    <row r="611" spans="1:22" ht="38.25">
      <c r="A611" s="10" t="s">
        <v>820</v>
      </c>
      <c r="B611" s="11">
        <f>IFERROR(VLOOKUP(A611,Systems!A:B,2,FALSE),"Various")</f>
        <v>0</v>
      </c>
      <c r="C611" s="11" t="s">
        <v>1340</v>
      </c>
      <c r="D611" s="11"/>
      <c r="E611" s="11"/>
      <c r="F611" s="24" t="s">
        <v>1067</v>
      </c>
      <c r="G611" s="38"/>
      <c r="H611" s="11" t="s">
        <v>1602</v>
      </c>
      <c r="I611" s="11"/>
      <c r="J611" s="11"/>
      <c r="K611" s="11"/>
      <c r="L611" s="11"/>
      <c r="M611" s="11"/>
      <c r="N611" s="11"/>
      <c r="O611" s="11"/>
      <c r="P611" s="11"/>
      <c r="Q611" s="11"/>
      <c r="R611" s="11"/>
      <c r="S611" s="24" t="s">
        <v>30</v>
      </c>
      <c r="T611" s="24"/>
      <c r="U611" s="24" t="str">
        <f t="shared" si="15"/>
        <v/>
      </c>
      <c r="V611" s="24"/>
    </row>
    <row r="612" spans="1:22" ht="38.25">
      <c r="A612" s="10" t="s">
        <v>820</v>
      </c>
      <c r="B612" s="11">
        <f>IFERROR(VLOOKUP(A612,Systems!A:B,2,FALSE),"Various")</f>
        <v>0</v>
      </c>
      <c r="C612" s="11" t="s">
        <v>1341</v>
      </c>
      <c r="D612" s="11"/>
      <c r="E612" s="11"/>
      <c r="F612" s="24" t="s">
        <v>1067</v>
      </c>
      <c r="G612" s="38"/>
      <c r="H612" s="11" t="s">
        <v>1603</v>
      </c>
      <c r="I612" s="11"/>
      <c r="J612" s="11"/>
      <c r="K612" s="11"/>
      <c r="L612" s="11"/>
      <c r="M612" s="11"/>
      <c r="N612" s="11"/>
      <c r="O612" s="11"/>
      <c r="P612" s="11"/>
      <c r="Q612" s="11"/>
      <c r="R612" s="11"/>
      <c r="S612" s="24" t="s">
        <v>30</v>
      </c>
      <c r="T612" s="24"/>
      <c r="U612" s="24" t="str">
        <f t="shared" si="15"/>
        <v/>
      </c>
      <c r="V612" s="24"/>
    </row>
    <row r="613" spans="1:22" ht="76.5">
      <c r="A613" s="10" t="s">
        <v>1342</v>
      </c>
      <c r="B613" s="11" t="str">
        <f>IFERROR(VLOOKUP(A613,Systems!A:B,2,FALSE),"Various")</f>
        <v>Various</v>
      </c>
      <c r="C613" s="11" t="s">
        <v>1343</v>
      </c>
      <c r="D613" s="11"/>
      <c r="E613" s="11"/>
      <c r="F613" s="24" t="s">
        <v>1067</v>
      </c>
      <c r="G613" s="38"/>
      <c r="H613" s="11" t="s">
        <v>1604</v>
      </c>
      <c r="I613" s="11"/>
      <c r="J613" s="11"/>
      <c r="K613" s="11"/>
      <c r="L613" s="11"/>
      <c r="M613" s="11"/>
      <c r="N613" s="11"/>
      <c r="O613" s="11"/>
      <c r="P613" s="11"/>
      <c r="Q613" s="11"/>
      <c r="R613" s="11"/>
      <c r="S613" s="24" t="s">
        <v>30</v>
      </c>
      <c r="T613" s="24"/>
      <c r="U613" s="24"/>
      <c r="V613" s="24"/>
    </row>
    <row r="614" spans="1:22" ht="38.25">
      <c r="A614" s="10" t="s">
        <v>173</v>
      </c>
      <c r="B614" s="11" t="str">
        <f>IFERROR(VLOOKUP(A614,Systems!A:B,2,FALSE),"Various")</f>
        <v>Deckwash / internal fifi system</v>
      </c>
      <c r="C614" s="11" t="s">
        <v>1344</v>
      </c>
      <c r="D614" s="11"/>
      <c r="E614" s="11"/>
      <c r="F614" s="24" t="s">
        <v>1067</v>
      </c>
      <c r="G614" s="38"/>
      <c r="H614" s="11" t="s">
        <v>1605</v>
      </c>
      <c r="I614" s="11"/>
      <c r="J614" s="11"/>
      <c r="K614" s="11"/>
      <c r="L614" s="11"/>
      <c r="M614" s="11"/>
      <c r="N614" s="11"/>
      <c r="O614" s="11"/>
      <c r="P614" s="11"/>
      <c r="Q614" s="11"/>
      <c r="R614" s="11"/>
      <c r="S614" s="24" t="s">
        <v>30</v>
      </c>
      <c r="T614" s="24"/>
      <c r="U614" s="24"/>
      <c r="V614" s="24"/>
    </row>
    <row r="615" spans="1:22" ht="102">
      <c r="A615" s="10" t="s">
        <v>1229</v>
      </c>
      <c r="B615" s="11" t="str">
        <f>IFERROR(VLOOKUP(A615,Systems!A:B,2,FALSE),"Various")</f>
        <v>Remote controlled valves</v>
      </c>
      <c r="C615" s="11" t="s">
        <v>1345</v>
      </c>
      <c r="D615" s="11"/>
      <c r="E615" s="11"/>
      <c r="F615" s="24" t="s">
        <v>1067</v>
      </c>
      <c r="G615" s="38"/>
      <c r="H615" s="11" t="s">
        <v>1606</v>
      </c>
      <c r="I615" s="11"/>
      <c r="J615" s="11"/>
      <c r="K615" s="11"/>
      <c r="L615" s="11"/>
      <c r="M615" s="11"/>
      <c r="N615" s="11"/>
      <c r="O615" s="11"/>
      <c r="P615" s="11"/>
      <c r="Q615" s="11"/>
      <c r="R615" s="11"/>
      <c r="S615" s="24" t="s">
        <v>30</v>
      </c>
      <c r="T615" s="24"/>
      <c r="U615" s="24"/>
      <c r="V615" s="24"/>
    </row>
    <row r="616" spans="1:22" ht="51">
      <c r="A616" s="10" t="s">
        <v>1346</v>
      </c>
      <c r="B616" s="11" t="str">
        <f>IFERROR(VLOOKUP(A616,Systems!A:B,2,FALSE),"Various")</f>
        <v>Various</v>
      </c>
      <c r="C616" s="11"/>
      <c r="D616" s="11"/>
      <c r="E616" s="11"/>
      <c r="F616" s="24" t="s">
        <v>1067</v>
      </c>
      <c r="G616" s="38"/>
      <c r="H616" s="11" t="s">
        <v>1607</v>
      </c>
      <c r="I616" s="11"/>
      <c r="J616" s="11"/>
      <c r="K616" s="11"/>
      <c r="L616" s="11"/>
      <c r="M616" s="11"/>
      <c r="N616" s="11"/>
      <c r="O616" s="11"/>
      <c r="P616" s="11"/>
      <c r="Q616" s="11"/>
      <c r="R616" s="11"/>
      <c r="S616" s="24" t="s">
        <v>30</v>
      </c>
      <c r="T616" s="24"/>
      <c r="U616" s="24" t="str">
        <f>IF(OR(NOT(H616=""),NOT(M616="")),"","x")</f>
        <v/>
      </c>
      <c r="V616" s="24"/>
    </row>
    <row r="617" spans="1:22" ht="51">
      <c r="A617" s="10" t="s">
        <v>224</v>
      </c>
      <c r="B617" s="11" t="str">
        <f>IFERROR(VLOOKUP(A617,Systems!A:B,2,FALSE),"Various")</f>
        <v>Bilge system</v>
      </c>
      <c r="C617" s="11" t="s">
        <v>1347</v>
      </c>
      <c r="D617" s="11"/>
      <c r="E617" s="11"/>
      <c r="F617" s="24" t="s">
        <v>1067</v>
      </c>
      <c r="G617" s="38"/>
      <c r="H617" s="11" t="s">
        <v>1608</v>
      </c>
      <c r="I617" s="11"/>
      <c r="J617" s="11"/>
      <c r="K617" s="11"/>
      <c r="L617" s="11"/>
      <c r="M617" s="11"/>
      <c r="N617" s="11"/>
      <c r="O617" s="11"/>
      <c r="P617" s="11"/>
      <c r="Q617" s="11"/>
      <c r="R617" s="11"/>
      <c r="S617" s="24" t="s">
        <v>30</v>
      </c>
      <c r="T617" s="24"/>
      <c r="U617" s="24"/>
      <c r="V617" s="24"/>
    </row>
    <row r="618" spans="1:22" ht="38.25">
      <c r="A618" s="10" t="s">
        <v>832</v>
      </c>
      <c r="B618" s="11" t="str">
        <f>IFERROR(VLOOKUP(A618,Systems!A:B,2,FALSE),"Various")</f>
        <v>Fuel transfer system</v>
      </c>
      <c r="C618" s="11" t="s">
        <v>1348</v>
      </c>
      <c r="D618" s="11"/>
      <c r="E618" s="11"/>
      <c r="F618" s="24" t="s">
        <v>1067</v>
      </c>
      <c r="G618" s="38"/>
      <c r="H618" s="11" t="s">
        <v>1609</v>
      </c>
      <c r="I618" s="11"/>
      <c r="J618" s="11"/>
      <c r="K618" s="11"/>
      <c r="L618" s="11"/>
      <c r="M618" s="11"/>
      <c r="N618" s="11"/>
      <c r="O618" s="11"/>
      <c r="P618" s="11"/>
      <c r="Q618" s="11"/>
      <c r="R618" s="11"/>
      <c r="S618" s="24" t="s">
        <v>30</v>
      </c>
      <c r="T618" s="24"/>
      <c r="U618" s="24"/>
      <c r="V618" s="24"/>
    </row>
    <row r="619" spans="1:22" ht="89.25">
      <c r="A619" s="10" t="s">
        <v>832</v>
      </c>
      <c r="B619" s="11" t="str">
        <f>IFERROR(VLOOKUP(A619,Systems!A:B,2,FALSE),"Various")</f>
        <v>Fuel transfer system</v>
      </c>
      <c r="C619" s="11" t="s">
        <v>1349</v>
      </c>
      <c r="D619" s="11"/>
      <c r="E619" s="11"/>
      <c r="F619" s="24" t="s">
        <v>1067</v>
      </c>
      <c r="G619" s="38"/>
      <c r="H619" s="11" t="s">
        <v>1610</v>
      </c>
      <c r="I619" s="11"/>
      <c r="J619" s="11"/>
      <c r="K619" s="11"/>
      <c r="L619" s="11"/>
      <c r="M619" s="11"/>
      <c r="N619" s="11"/>
      <c r="O619" s="11"/>
      <c r="P619" s="11"/>
      <c r="Q619" s="11"/>
      <c r="R619" s="11"/>
      <c r="S619" s="24" t="s">
        <v>30</v>
      </c>
      <c r="T619" s="24"/>
      <c r="U619" s="24"/>
      <c r="V619" s="24"/>
    </row>
    <row r="620" spans="1:22" ht="38.25">
      <c r="A620" s="10" t="s">
        <v>169</v>
      </c>
      <c r="B620" s="11" t="str">
        <f>IFERROR(VLOOKUP(A620,Systems!A:B,2,FALSE),"Various")</f>
        <v>Alarm / monitoring / control system</v>
      </c>
      <c r="C620" s="11" t="s">
        <v>1290</v>
      </c>
      <c r="D620" s="11"/>
      <c r="E620" s="11"/>
      <c r="F620" s="24" t="s">
        <v>1067</v>
      </c>
      <c r="G620" s="38"/>
      <c r="H620" s="11" t="s">
        <v>1611</v>
      </c>
      <c r="I620" s="11"/>
      <c r="J620" s="11"/>
      <c r="K620" s="11"/>
      <c r="L620" s="11"/>
      <c r="M620" s="11"/>
      <c r="N620" s="11"/>
      <c r="O620" s="11"/>
      <c r="P620" s="11"/>
      <c r="Q620" s="11"/>
      <c r="R620" s="11"/>
      <c r="S620" s="24" t="s">
        <v>30</v>
      </c>
      <c r="T620" s="24"/>
      <c r="U620" s="24"/>
      <c r="V620" s="24"/>
    </row>
    <row r="621" spans="1:22" ht="76.5">
      <c r="A621" s="10" t="s">
        <v>169</v>
      </c>
      <c r="B621" s="11" t="str">
        <f>IFERROR(VLOOKUP(A621,Systems!A:B,2,FALSE),"Various")</f>
        <v>Alarm / monitoring / control system</v>
      </c>
      <c r="C621" s="11" t="s">
        <v>1395</v>
      </c>
      <c r="D621" s="11"/>
      <c r="E621" s="11"/>
      <c r="F621" s="24" t="s">
        <v>1067</v>
      </c>
      <c r="G621" s="38"/>
      <c r="H621" s="11" t="s">
        <v>1612</v>
      </c>
      <c r="I621" s="11"/>
      <c r="J621" s="11"/>
      <c r="K621" s="11"/>
      <c r="L621" s="11"/>
      <c r="M621" s="11"/>
      <c r="N621" s="11"/>
      <c r="O621" s="11"/>
      <c r="P621" s="11"/>
      <c r="Q621" s="11"/>
      <c r="R621" s="11"/>
      <c r="S621" s="24" t="s">
        <v>30</v>
      </c>
      <c r="T621" s="24"/>
      <c r="U621" s="24"/>
      <c r="V621" s="24"/>
    </row>
    <row r="622" spans="1:22" ht="51">
      <c r="A622" s="10" t="s">
        <v>169</v>
      </c>
      <c r="B622" s="11" t="str">
        <f>IFERROR(VLOOKUP(A622,Systems!A:B,2,FALSE),"Various")</f>
        <v>Alarm / monitoring / control system</v>
      </c>
      <c r="C622" s="11" t="s">
        <v>1394</v>
      </c>
      <c r="D622" s="11"/>
      <c r="E622" s="11"/>
      <c r="F622" s="24" t="s">
        <v>1067</v>
      </c>
      <c r="G622" s="38"/>
      <c r="H622" s="11" t="s">
        <v>1613</v>
      </c>
      <c r="I622" s="11"/>
      <c r="J622" s="11"/>
      <c r="K622" s="11"/>
      <c r="L622" s="11"/>
      <c r="M622" s="11"/>
      <c r="N622" s="11"/>
      <c r="O622" s="11"/>
      <c r="P622" s="11"/>
      <c r="Q622" s="11"/>
      <c r="R622" s="11"/>
      <c r="S622" s="24" t="s">
        <v>30</v>
      </c>
      <c r="T622" s="24"/>
      <c r="U622" s="24" t="str">
        <f>IF(OR(NOT(H622=""),NOT(M622="")),"","x")</f>
        <v/>
      </c>
      <c r="V622" s="24"/>
    </row>
    <row r="623" spans="1:22" ht="51">
      <c r="A623" s="10" t="s">
        <v>169</v>
      </c>
      <c r="B623" s="11" t="str">
        <f>IFERROR(VLOOKUP(A623,Systems!A:B,2,FALSE),"Various")</f>
        <v>Alarm / monitoring / control system</v>
      </c>
      <c r="C623" s="11" t="s">
        <v>1394</v>
      </c>
      <c r="D623" s="11"/>
      <c r="E623" s="11"/>
      <c r="F623" s="24" t="s">
        <v>1067</v>
      </c>
      <c r="G623" s="38"/>
      <c r="H623" s="11" t="s">
        <v>1614</v>
      </c>
      <c r="I623" s="11"/>
      <c r="J623" s="11"/>
      <c r="K623" s="11"/>
      <c r="L623" s="11"/>
      <c r="M623" s="11"/>
      <c r="N623" s="11"/>
      <c r="O623" s="11"/>
      <c r="P623" s="11"/>
      <c r="Q623" s="11"/>
      <c r="R623" s="11"/>
      <c r="S623" s="24" t="s">
        <v>30</v>
      </c>
      <c r="T623" s="24"/>
      <c r="U623" s="24"/>
      <c r="V623" s="24"/>
    </row>
    <row r="624" spans="1:22" ht="204">
      <c r="A624" s="10" t="s">
        <v>169</v>
      </c>
      <c r="B624" s="11" t="str">
        <f>IFERROR(VLOOKUP(A624,Systems!A:B,2,FALSE),"Various")</f>
        <v>Alarm / monitoring / control system</v>
      </c>
      <c r="C624" s="11" t="s">
        <v>1350</v>
      </c>
      <c r="D624" s="11"/>
      <c r="E624" s="11"/>
      <c r="F624" s="24" t="s">
        <v>1067</v>
      </c>
      <c r="G624" s="38"/>
      <c r="H624" s="11" t="s">
        <v>1615</v>
      </c>
      <c r="I624" s="11"/>
      <c r="J624" s="11"/>
      <c r="K624" s="11"/>
      <c r="L624" s="11"/>
      <c r="M624" s="11"/>
      <c r="N624" s="11"/>
      <c r="O624" s="11"/>
      <c r="P624" s="11"/>
      <c r="Q624" s="11"/>
      <c r="R624" s="11"/>
      <c r="S624" s="24" t="s">
        <v>30</v>
      </c>
      <c r="T624" s="24"/>
      <c r="U624" s="24" t="str">
        <f>IF(OR(NOT(H624=""),NOT(M624="")),"","x")</f>
        <v/>
      </c>
      <c r="V624" s="24"/>
    </row>
    <row r="625" spans="1:22" ht="140.25">
      <c r="A625" s="10" t="s">
        <v>169</v>
      </c>
      <c r="B625" s="11" t="str">
        <f>IFERROR(VLOOKUP(A625,Systems!A:B,2,FALSE),"Various")</f>
        <v>Alarm / monitoring / control system</v>
      </c>
      <c r="C625" s="11" t="s">
        <v>1351</v>
      </c>
      <c r="D625" s="11"/>
      <c r="E625" s="11"/>
      <c r="F625" s="24" t="s">
        <v>1067</v>
      </c>
      <c r="G625" s="38"/>
      <c r="H625" s="11" t="s">
        <v>1616</v>
      </c>
      <c r="I625" s="11"/>
      <c r="J625" s="11"/>
      <c r="K625" s="11"/>
      <c r="L625" s="11"/>
      <c r="M625" s="11"/>
      <c r="N625" s="11"/>
      <c r="O625" s="11"/>
      <c r="P625" s="11"/>
      <c r="Q625" s="11"/>
      <c r="R625" s="11"/>
      <c r="S625" s="24" t="s">
        <v>30</v>
      </c>
      <c r="T625" s="24"/>
      <c r="U625" s="24" t="str">
        <f>IF(OR(NOT(H625=""),NOT(M625="")),"","x")</f>
        <v/>
      </c>
      <c r="V625" s="24"/>
    </row>
    <row r="626" spans="1:22" ht="51">
      <c r="A626" s="10" t="s">
        <v>169</v>
      </c>
      <c r="B626" s="11" t="str">
        <f>IFERROR(VLOOKUP(A626,Systems!A:B,2,FALSE),"Various")</f>
        <v>Alarm / monitoring / control system</v>
      </c>
      <c r="C626" s="11" t="s">
        <v>1391</v>
      </c>
      <c r="D626" s="11"/>
      <c r="E626" s="11"/>
      <c r="F626" s="24" t="s">
        <v>1067</v>
      </c>
      <c r="G626" s="38"/>
      <c r="H626" s="11" t="s">
        <v>1617</v>
      </c>
      <c r="I626" s="11"/>
      <c r="J626" s="11"/>
      <c r="K626" s="11"/>
      <c r="L626" s="11"/>
      <c r="M626" s="11"/>
      <c r="N626" s="11"/>
      <c r="O626" s="11"/>
      <c r="P626" s="11"/>
      <c r="Q626" s="11"/>
      <c r="R626" s="11"/>
      <c r="S626" s="24"/>
      <c r="T626" s="24"/>
      <c r="U626" s="24"/>
      <c r="V626" s="24"/>
    </row>
    <row r="627" spans="1:22" ht="51">
      <c r="A627" s="10" t="s">
        <v>169</v>
      </c>
      <c r="B627" s="11" t="str">
        <f>IFERROR(VLOOKUP(A627,Systems!A:B,2,FALSE),"Various")</f>
        <v>Alarm / monitoring / control system</v>
      </c>
      <c r="C627" s="11" t="s">
        <v>1392</v>
      </c>
      <c r="D627" s="11"/>
      <c r="E627" s="11"/>
      <c r="F627" s="24" t="s">
        <v>1067</v>
      </c>
      <c r="G627" s="38"/>
      <c r="H627" s="11" t="s">
        <v>1618</v>
      </c>
      <c r="I627" s="11"/>
      <c r="J627" s="11"/>
      <c r="K627" s="11"/>
      <c r="L627" s="11"/>
      <c r="M627" s="11"/>
      <c r="N627" s="11"/>
      <c r="O627" s="11"/>
      <c r="P627" s="11"/>
      <c r="Q627" s="11"/>
      <c r="R627" s="11"/>
      <c r="S627" s="24" t="s">
        <v>30</v>
      </c>
      <c r="T627" s="24"/>
      <c r="U627" s="24" t="str">
        <f>IF(OR(NOT(H627=""),NOT(M627="")),"","x")</f>
        <v/>
      </c>
      <c r="V627" s="24"/>
    </row>
    <row r="628" spans="1:22" ht="51">
      <c r="A628" s="10" t="s">
        <v>169</v>
      </c>
      <c r="B628" s="11" t="str">
        <f>IFERROR(VLOOKUP(A628,Systems!A:B,2,FALSE),"Various")</f>
        <v>Alarm / monitoring / control system</v>
      </c>
      <c r="C628" s="11" t="s">
        <v>1393</v>
      </c>
      <c r="D628" s="11"/>
      <c r="E628" s="11"/>
      <c r="F628" s="24" t="s">
        <v>1067</v>
      </c>
      <c r="G628" s="38"/>
      <c r="H628" s="11" t="s">
        <v>1619</v>
      </c>
      <c r="I628" s="11"/>
      <c r="J628" s="11"/>
      <c r="K628" s="11"/>
      <c r="L628" s="11"/>
      <c r="M628" s="11"/>
      <c r="N628" s="11"/>
      <c r="O628" s="11"/>
      <c r="P628" s="11"/>
      <c r="Q628" s="11"/>
      <c r="R628" s="11"/>
      <c r="S628" s="24"/>
      <c r="T628" s="24"/>
      <c r="U628" s="24"/>
      <c r="V628" s="24"/>
    </row>
    <row r="629" spans="1:22" ht="89.25">
      <c r="A629" s="10" t="s">
        <v>169</v>
      </c>
      <c r="B629" s="11" t="str">
        <f>IFERROR(VLOOKUP(A629,Systems!A:B,2,FALSE),"Various")</f>
        <v>Alarm / monitoring / control system</v>
      </c>
      <c r="C629" s="11" t="s">
        <v>1393</v>
      </c>
      <c r="D629" s="11"/>
      <c r="E629" s="11"/>
      <c r="F629" s="24" t="s">
        <v>1067</v>
      </c>
      <c r="G629" s="38"/>
      <c r="H629" s="11" t="s">
        <v>1620</v>
      </c>
      <c r="I629" s="11"/>
      <c r="J629" s="11"/>
      <c r="K629" s="11"/>
      <c r="L629" s="11"/>
      <c r="M629" s="11"/>
      <c r="N629" s="11"/>
      <c r="O629" s="11"/>
      <c r="P629" s="11"/>
      <c r="Q629" s="11"/>
      <c r="R629" s="11"/>
      <c r="S629" s="24"/>
      <c r="T629" s="24"/>
      <c r="U629" s="24"/>
      <c r="V629" s="24"/>
    </row>
    <row r="630" spans="1:22" ht="89.25">
      <c r="A630" s="10" t="s">
        <v>169</v>
      </c>
      <c r="B630" s="11" t="str">
        <f>IFERROR(VLOOKUP(A630,Systems!A:B,2,FALSE),"Various")</f>
        <v>Alarm / monitoring / control system</v>
      </c>
      <c r="C630" s="11" t="s">
        <v>1394</v>
      </c>
      <c r="D630" s="11"/>
      <c r="E630" s="11"/>
      <c r="F630" s="24" t="s">
        <v>1067</v>
      </c>
      <c r="G630" s="38"/>
      <c r="H630" s="11" t="s">
        <v>1621</v>
      </c>
      <c r="I630" s="11"/>
      <c r="J630" s="11"/>
      <c r="K630" s="11"/>
      <c r="L630" s="11"/>
      <c r="M630" s="11"/>
      <c r="N630" s="11"/>
      <c r="O630" s="11"/>
      <c r="P630" s="11"/>
      <c r="Q630" s="11"/>
      <c r="R630" s="11"/>
      <c r="S630" s="24" t="s">
        <v>30</v>
      </c>
      <c r="T630" s="24"/>
      <c r="U630" s="24"/>
      <c r="V630" s="24"/>
    </row>
    <row r="631" spans="1:22" ht="76.5">
      <c r="A631" s="10" t="s">
        <v>169</v>
      </c>
      <c r="B631" s="11" t="str">
        <f>IFERROR(VLOOKUP(A631,Systems!A:B,2,FALSE),"Various")</f>
        <v>Alarm / monitoring / control system</v>
      </c>
      <c r="C631" s="11" t="s">
        <v>1394</v>
      </c>
      <c r="D631" s="11"/>
      <c r="E631" s="11"/>
      <c r="F631" s="24" t="s">
        <v>1067</v>
      </c>
      <c r="G631" s="38"/>
      <c r="H631" s="11" t="s">
        <v>1622</v>
      </c>
      <c r="I631" s="11"/>
      <c r="J631" s="11"/>
      <c r="K631" s="11"/>
      <c r="L631" s="11"/>
      <c r="M631" s="11"/>
      <c r="N631" s="11"/>
      <c r="O631" s="11"/>
      <c r="P631" s="11"/>
      <c r="Q631" s="11"/>
      <c r="R631" s="11"/>
      <c r="S631" s="24" t="s">
        <v>30</v>
      </c>
      <c r="T631" s="24"/>
      <c r="U631" s="24"/>
      <c r="V631" s="24"/>
    </row>
    <row r="632" spans="1:22" ht="76.5">
      <c r="A632" s="10" t="s">
        <v>173</v>
      </c>
      <c r="B632" s="11" t="str">
        <f>IFERROR(VLOOKUP(A632,Systems!A:B,2,FALSE),"Various")</f>
        <v>Deckwash / internal fifi system</v>
      </c>
      <c r="C632" s="11" t="s">
        <v>1344</v>
      </c>
      <c r="D632" s="11"/>
      <c r="E632" s="11"/>
      <c r="F632" s="24" t="s">
        <v>1067</v>
      </c>
      <c r="G632" s="38"/>
      <c r="H632" s="11" t="s">
        <v>1623</v>
      </c>
      <c r="I632" s="11"/>
      <c r="J632" s="11"/>
      <c r="K632" s="11"/>
      <c r="L632" s="11"/>
      <c r="M632" s="11"/>
      <c r="N632" s="11"/>
      <c r="O632" s="11"/>
      <c r="P632" s="11"/>
      <c r="Q632" s="11"/>
      <c r="R632" s="11"/>
      <c r="S632" s="24" t="s">
        <v>30</v>
      </c>
      <c r="T632" s="24"/>
      <c r="U632" s="24"/>
      <c r="V632" s="24"/>
    </row>
    <row r="633" spans="1:22" ht="114.75">
      <c r="A633" s="10" t="s">
        <v>173</v>
      </c>
      <c r="B633" s="11" t="str">
        <f>IFERROR(VLOOKUP(A633,Systems!A:B,2,FALSE),"Various")</f>
        <v>Deckwash / internal fifi system</v>
      </c>
      <c r="C633" s="11" t="s">
        <v>1396</v>
      </c>
      <c r="D633" s="11"/>
      <c r="E633" s="11"/>
      <c r="F633" s="24" t="s">
        <v>1067</v>
      </c>
      <c r="G633" s="38"/>
      <c r="H633" s="11" t="s">
        <v>1624</v>
      </c>
      <c r="I633" s="11"/>
      <c r="J633" s="11"/>
      <c r="K633" s="11"/>
      <c r="L633" s="11"/>
      <c r="M633" s="11"/>
      <c r="N633" s="11"/>
      <c r="O633" s="11"/>
      <c r="P633" s="11"/>
      <c r="Q633" s="11"/>
      <c r="R633" s="11"/>
      <c r="S633" s="24" t="s">
        <v>30</v>
      </c>
      <c r="T633" s="24"/>
      <c r="U633" s="24"/>
      <c r="V633" s="24"/>
    </row>
    <row r="634" spans="1:22" ht="89.25">
      <c r="A634" s="10" t="s">
        <v>173</v>
      </c>
      <c r="B634" s="11" t="str">
        <f>IFERROR(VLOOKUP(A634,Systems!A:B,2,FALSE),"Various")</f>
        <v>Deckwash / internal fifi system</v>
      </c>
      <c r="C634" s="11" t="s">
        <v>1397</v>
      </c>
      <c r="D634" s="11"/>
      <c r="E634" s="11"/>
      <c r="F634" s="24" t="s">
        <v>1067</v>
      </c>
      <c r="G634" s="38"/>
      <c r="H634" s="11" t="s">
        <v>1625</v>
      </c>
      <c r="I634" s="11"/>
      <c r="J634" s="11"/>
      <c r="K634" s="11"/>
      <c r="L634" s="11"/>
      <c r="M634" s="11"/>
      <c r="N634" s="11"/>
      <c r="O634" s="11"/>
      <c r="P634" s="11"/>
      <c r="Q634" s="11"/>
      <c r="R634" s="11" t="s">
        <v>1402</v>
      </c>
      <c r="S634" s="24" t="s">
        <v>30</v>
      </c>
      <c r="T634" s="24"/>
      <c r="U634" s="24"/>
      <c r="V634" s="24"/>
    </row>
    <row r="635" spans="1:22" ht="51">
      <c r="A635" s="10" t="s">
        <v>814</v>
      </c>
      <c r="B635" s="11" t="str">
        <f>IFERROR(VLOOKUP(A635,Systems!A:B,2,FALSE),"Various")</f>
        <v>Fixed internal fifi system</v>
      </c>
      <c r="C635" s="11" t="s">
        <v>1405</v>
      </c>
      <c r="D635" s="11"/>
      <c r="E635" s="11"/>
      <c r="F635" s="24" t="s">
        <v>1067</v>
      </c>
      <c r="G635" s="38"/>
      <c r="H635" s="11" t="s">
        <v>1626</v>
      </c>
      <c r="I635" s="11"/>
      <c r="J635" s="11"/>
      <c r="K635" s="11"/>
      <c r="L635" s="11"/>
      <c r="M635" s="11"/>
      <c r="N635" s="11"/>
      <c r="O635" s="11"/>
      <c r="P635" s="11"/>
      <c r="Q635" s="11"/>
      <c r="R635" s="11"/>
      <c r="S635" s="24" t="s">
        <v>30</v>
      </c>
      <c r="T635" s="24"/>
      <c r="U635" s="24"/>
      <c r="V635" s="24"/>
    </row>
    <row r="636" spans="1:22" ht="76.5">
      <c r="A636" s="10" t="s">
        <v>224</v>
      </c>
      <c r="B636" s="11" t="str">
        <f>IFERROR(VLOOKUP(A636,Systems!A:B,2,FALSE),"Various")</f>
        <v>Bilge system</v>
      </c>
      <c r="C636" s="11" t="s">
        <v>1227</v>
      </c>
      <c r="D636" s="11"/>
      <c r="E636" s="11"/>
      <c r="F636" s="24" t="s">
        <v>1067</v>
      </c>
      <c r="G636" s="38"/>
      <c r="H636" s="11" t="s">
        <v>1627</v>
      </c>
      <c r="I636" s="11"/>
      <c r="J636" s="11"/>
      <c r="K636" s="11"/>
      <c r="L636" s="11"/>
      <c r="M636" s="11"/>
      <c r="N636" s="11"/>
      <c r="O636" s="11"/>
      <c r="P636" s="11"/>
      <c r="Q636" s="11"/>
      <c r="R636" s="11"/>
      <c r="S636" s="24" t="s">
        <v>30</v>
      </c>
      <c r="T636" s="24"/>
      <c r="U636" s="24" t="str">
        <f>IF(OR(NOT(H636=""),NOT(M636="")),"","x")</f>
        <v/>
      </c>
      <c r="V636" s="24"/>
    </row>
    <row r="637" spans="1:22" ht="51">
      <c r="A637" s="10" t="s">
        <v>224</v>
      </c>
      <c r="B637" s="11" t="str">
        <f>IFERROR(VLOOKUP(A637,Systems!A:B,2,FALSE),"Various")</f>
        <v>Bilge system</v>
      </c>
      <c r="C637" s="11" t="s">
        <v>1228</v>
      </c>
      <c r="D637" s="11"/>
      <c r="E637" s="11"/>
      <c r="F637" s="24" t="s">
        <v>1067</v>
      </c>
      <c r="G637" s="38"/>
      <c r="H637" s="11" t="s">
        <v>1628</v>
      </c>
      <c r="I637" s="11"/>
      <c r="J637" s="11"/>
      <c r="K637" s="11"/>
      <c r="L637" s="11"/>
      <c r="M637" s="11"/>
      <c r="N637" s="11"/>
      <c r="O637" s="11"/>
      <c r="P637" s="11"/>
      <c r="Q637" s="11"/>
      <c r="R637" s="11"/>
      <c r="S637" s="24" t="s">
        <v>30</v>
      </c>
      <c r="T637" s="24"/>
      <c r="U637" s="24" t="str">
        <f>IF(OR(NOT(H637=""),NOT(M637="")),"","x")</f>
        <v/>
      </c>
      <c r="V637" s="24"/>
    </row>
    <row r="638" spans="1:22" ht="344.25">
      <c r="A638" s="10" t="s">
        <v>1978</v>
      </c>
      <c r="B638" s="11" t="str">
        <f>IFERROR(VLOOKUP(A638,Systems!A:B,2,FALSE),"Various")</f>
        <v>Various</v>
      </c>
      <c r="C638" s="11" t="s">
        <v>1977</v>
      </c>
      <c r="D638" s="11"/>
      <c r="E638" s="11"/>
      <c r="F638" s="24" t="s">
        <v>1067</v>
      </c>
      <c r="G638" s="38"/>
      <c r="H638" s="11" t="s">
        <v>1629</v>
      </c>
      <c r="I638" s="11"/>
      <c r="J638" s="11"/>
      <c r="K638" s="11"/>
      <c r="L638" s="11"/>
      <c r="M638" s="11"/>
      <c r="N638" s="11"/>
      <c r="O638" s="11"/>
      <c r="P638" s="11"/>
      <c r="Q638" s="11"/>
      <c r="R638" s="11"/>
      <c r="S638" s="24" t="s">
        <v>30</v>
      </c>
      <c r="T638" s="24"/>
      <c r="U638" s="24" t="str">
        <f>IF(OR(NOT(H638=""),NOT(M638="")),"","x")</f>
        <v/>
      </c>
      <c r="V638" s="24"/>
    </row>
    <row r="639" spans="1:22" ht="114.75">
      <c r="A639" s="10" t="s">
        <v>1248</v>
      </c>
      <c r="B639" s="11" t="str">
        <f>IFERROR(VLOOKUP(A639,Systems!A:B,2,FALSE),"Various")</f>
        <v>Various</v>
      </c>
      <c r="C639" s="11" t="s">
        <v>1406</v>
      </c>
      <c r="D639" s="11"/>
      <c r="E639" s="11"/>
      <c r="F639" s="24" t="s">
        <v>1067</v>
      </c>
      <c r="G639" s="38"/>
      <c r="H639" s="11" t="s">
        <v>1630</v>
      </c>
      <c r="I639" s="11"/>
      <c r="J639" s="11"/>
      <c r="K639" s="11"/>
      <c r="L639" s="11"/>
      <c r="M639" s="11"/>
      <c r="N639" s="11"/>
      <c r="O639" s="11"/>
      <c r="P639" s="11"/>
      <c r="Q639" s="11"/>
      <c r="R639" s="11"/>
      <c r="S639" s="24" t="s">
        <v>30</v>
      </c>
      <c r="T639" s="24"/>
      <c r="U639" s="24" t="str">
        <f>IF(OR(NOT(H639=""),NOT(M639="")),"","x")</f>
        <v/>
      </c>
      <c r="V639" s="24"/>
    </row>
    <row r="640" spans="1:22" ht="51">
      <c r="A640" s="10" t="s">
        <v>811</v>
      </c>
      <c r="B640" s="11" t="str">
        <f>IFERROR(VLOOKUP(A640,Systems!A:B,2,FALSE),"Various")</f>
        <v>Starting air system</v>
      </c>
      <c r="C640" s="11" t="s">
        <v>1407</v>
      </c>
      <c r="D640" s="11"/>
      <c r="E640" s="11"/>
      <c r="F640" s="24" t="s">
        <v>1067</v>
      </c>
      <c r="G640" s="38"/>
      <c r="H640" s="11" t="s">
        <v>1631</v>
      </c>
      <c r="I640" s="11"/>
      <c r="J640" s="11"/>
      <c r="K640" s="11"/>
      <c r="L640" s="11"/>
      <c r="M640" s="11"/>
      <c r="N640" s="11"/>
      <c r="O640" s="11"/>
      <c r="P640" s="11"/>
      <c r="Q640" s="11"/>
      <c r="R640" s="11"/>
      <c r="S640" s="24" t="s">
        <v>30</v>
      </c>
      <c r="T640" s="24"/>
      <c r="U640" s="24"/>
      <c r="V640" s="24"/>
    </row>
    <row r="641" spans="1:22" ht="51">
      <c r="A641" s="10" t="s">
        <v>832</v>
      </c>
      <c r="B641" s="11" t="str">
        <f>IFERROR(VLOOKUP(A641,Systems!A:B,2,FALSE),"Various")</f>
        <v>Fuel transfer system</v>
      </c>
      <c r="C641" s="11" t="s">
        <v>1408</v>
      </c>
      <c r="D641" s="11"/>
      <c r="E641" s="11"/>
      <c r="F641" s="24" t="s">
        <v>1067</v>
      </c>
      <c r="G641" s="38"/>
      <c r="H641" s="11" t="s">
        <v>1632</v>
      </c>
      <c r="I641" s="11"/>
      <c r="J641" s="11"/>
      <c r="K641" s="11"/>
      <c r="L641" s="11"/>
      <c r="M641" s="11"/>
      <c r="N641" s="11"/>
      <c r="O641" s="11"/>
      <c r="P641" s="11"/>
      <c r="Q641" s="11"/>
      <c r="R641" s="11"/>
      <c r="S641" s="24" t="s">
        <v>30</v>
      </c>
      <c r="T641" s="24"/>
      <c r="U641" s="24" t="str">
        <f t="shared" ref="U641:U649" si="16">IF(OR(NOT(H641=""),NOT(M641="")),"","x")</f>
        <v/>
      </c>
      <c r="V641" s="24"/>
    </row>
    <row r="642" spans="1:22" ht="38.25">
      <c r="A642" s="10" t="s">
        <v>1289</v>
      </c>
      <c r="B642" s="11" t="str">
        <f>IFERROR(VLOOKUP(A642,Systems!A:B,2,FALSE),"Various")</f>
        <v>Various</v>
      </c>
      <c r="C642" s="11" t="s">
        <v>1408</v>
      </c>
      <c r="D642" s="11"/>
      <c r="E642" s="11"/>
      <c r="F642" s="24" t="s">
        <v>1067</v>
      </c>
      <c r="G642" s="38"/>
      <c r="H642" s="11" t="s">
        <v>1633</v>
      </c>
      <c r="I642" s="11"/>
      <c r="J642" s="11"/>
      <c r="K642" s="11"/>
      <c r="L642" s="11"/>
      <c r="M642" s="11"/>
      <c r="N642" s="11"/>
      <c r="O642" s="11"/>
      <c r="P642" s="11"/>
      <c r="Q642" s="11"/>
      <c r="R642" s="11"/>
      <c r="S642" s="24" t="s">
        <v>30</v>
      </c>
      <c r="T642" s="24"/>
      <c r="U642" s="24" t="str">
        <f t="shared" si="16"/>
        <v/>
      </c>
      <c r="V642" s="24"/>
    </row>
    <row r="643" spans="1:22" ht="63.75">
      <c r="A643" s="10" t="s">
        <v>833</v>
      </c>
      <c r="B643" s="11" t="str">
        <f>IFERROR(VLOOKUP(A643,Systems!A:B,2,FALSE),"Various")</f>
        <v>Fuel supply system</v>
      </c>
      <c r="C643" s="11" t="s">
        <v>1410</v>
      </c>
      <c r="D643" s="11"/>
      <c r="E643" s="11"/>
      <c r="F643" s="24" t="s">
        <v>1067</v>
      </c>
      <c r="G643" s="38"/>
      <c r="H643" s="11" t="s">
        <v>1634</v>
      </c>
      <c r="I643" s="11"/>
      <c r="J643" s="11"/>
      <c r="K643" s="11"/>
      <c r="L643" s="11"/>
      <c r="M643" s="11"/>
      <c r="N643" s="11"/>
      <c r="O643" s="11"/>
      <c r="P643" s="11"/>
      <c r="Q643" s="11"/>
      <c r="R643" s="11"/>
      <c r="S643" s="24" t="s">
        <v>30</v>
      </c>
      <c r="T643" s="24"/>
      <c r="U643" s="24" t="str">
        <f t="shared" si="16"/>
        <v/>
      </c>
      <c r="V643" s="24"/>
    </row>
    <row r="644" spans="1:22" ht="382.5">
      <c r="A644" s="10" t="s">
        <v>1271</v>
      </c>
      <c r="B644" s="11" t="str">
        <f>IFERROR(VLOOKUP(A644,Systems!A:B,2,FALSE),"Various")</f>
        <v>Various</v>
      </c>
      <c r="C644" s="11" t="s">
        <v>1339</v>
      </c>
      <c r="D644" s="11"/>
      <c r="E644" s="11"/>
      <c r="F644" s="24" t="s">
        <v>1067</v>
      </c>
      <c r="G644" s="38"/>
      <c r="H644" s="11" t="s">
        <v>1635</v>
      </c>
      <c r="I644" s="11"/>
      <c r="J644" s="11"/>
      <c r="K644" s="11"/>
      <c r="L644" s="11"/>
      <c r="M644" s="11"/>
      <c r="N644" s="11"/>
      <c r="O644" s="11"/>
      <c r="P644" s="11"/>
      <c r="Q644" s="11"/>
      <c r="R644" s="11"/>
      <c r="S644" s="24" t="s">
        <v>30</v>
      </c>
      <c r="T644" s="24"/>
      <c r="U644" s="24" t="str">
        <f t="shared" si="16"/>
        <v/>
      </c>
      <c r="V644" s="24"/>
    </row>
    <row r="645" spans="1:22" ht="191.25">
      <c r="A645" s="10" t="s">
        <v>814</v>
      </c>
      <c r="B645" s="11" t="str">
        <f>IFERROR(VLOOKUP(A645,Systems!A:B,2,FALSE),"Various")</f>
        <v>Fixed internal fifi system</v>
      </c>
      <c r="C645" s="11" t="s">
        <v>1290</v>
      </c>
      <c r="D645" s="11"/>
      <c r="E645" s="11"/>
      <c r="F645" s="24" t="s">
        <v>1067</v>
      </c>
      <c r="G645" s="38"/>
      <c r="H645" s="11" t="s">
        <v>1636</v>
      </c>
      <c r="I645" s="11"/>
      <c r="J645" s="11"/>
      <c r="K645" s="11"/>
      <c r="L645" s="11"/>
      <c r="M645" s="11"/>
      <c r="N645" s="11"/>
      <c r="O645" s="11"/>
      <c r="P645" s="11"/>
      <c r="Q645" s="11"/>
      <c r="R645" s="11"/>
      <c r="S645" s="24" t="s">
        <v>30</v>
      </c>
      <c r="T645" s="24"/>
      <c r="U645" s="24" t="str">
        <f t="shared" si="16"/>
        <v/>
      </c>
      <c r="V645" s="24"/>
    </row>
    <row r="646" spans="1:22" ht="165.75">
      <c r="A646" s="10" t="s">
        <v>181</v>
      </c>
      <c r="B646" s="11" t="str">
        <f>IFERROR(VLOOKUP(A646,Systems!A:B,2,FALSE),"Various")</f>
        <v>Sludge system</v>
      </c>
      <c r="C646" s="11" t="s">
        <v>1285</v>
      </c>
      <c r="D646" s="11"/>
      <c r="E646" s="11"/>
      <c r="F646" s="24" t="s">
        <v>1067</v>
      </c>
      <c r="G646" s="38"/>
      <c r="H646" s="11" t="s">
        <v>1637</v>
      </c>
      <c r="I646" s="11"/>
      <c r="J646" s="11"/>
      <c r="K646" s="11"/>
      <c r="L646" s="11"/>
      <c r="M646" s="11"/>
      <c r="N646" s="11"/>
      <c r="O646" s="11"/>
      <c r="P646" s="11"/>
      <c r="Q646" s="11"/>
      <c r="R646" s="11"/>
      <c r="S646" s="24" t="s">
        <v>30</v>
      </c>
      <c r="T646" s="24" t="s">
        <v>30</v>
      </c>
      <c r="U646" s="24" t="str">
        <f t="shared" si="16"/>
        <v/>
      </c>
      <c r="V646" s="24"/>
    </row>
    <row r="647" spans="1:22" ht="38.25">
      <c r="A647" s="10" t="s">
        <v>1289</v>
      </c>
      <c r="B647" s="11" t="str">
        <f>IFERROR(VLOOKUP(A647,Systems!A:B,2,FALSE),"Various")</f>
        <v>Various</v>
      </c>
      <c r="C647" s="11" t="s">
        <v>1287</v>
      </c>
      <c r="D647" s="11"/>
      <c r="E647" s="11"/>
      <c r="F647" s="24" t="s">
        <v>1067</v>
      </c>
      <c r="G647" s="38"/>
      <c r="H647" s="11" t="s">
        <v>1638</v>
      </c>
      <c r="I647" s="11"/>
      <c r="J647" s="11"/>
      <c r="K647" s="11"/>
      <c r="L647" s="11"/>
      <c r="M647" s="11"/>
      <c r="N647" s="11"/>
      <c r="O647" s="11"/>
      <c r="P647" s="11"/>
      <c r="Q647" s="11"/>
      <c r="R647" s="11"/>
      <c r="S647" s="24" t="s">
        <v>30</v>
      </c>
      <c r="T647" s="24" t="s">
        <v>30</v>
      </c>
      <c r="U647" s="24" t="str">
        <f t="shared" si="16"/>
        <v/>
      </c>
      <c r="V647" s="24"/>
    </row>
    <row r="648" spans="1:22" ht="38.25">
      <c r="A648" s="10" t="s">
        <v>1289</v>
      </c>
      <c r="B648" s="11" t="str">
        <f>IFERROR(VLOOKUP(A648,Systems!A:B,2,FALSE),"Various")</f>
        <v>Various</v>
      </c>
      <c r="C648" s="11" t="s">
        <v>1288</v>
      </c>
      <c r="D648" s="11"/>
      <c r="E648" s="11"/>
      <c r="F648" s="24" t="s">
        <v>1067</v>
      </c>
      <c r="G648" s="38"/>
      <c r="H648" s="11" t="s">
        <v>1639</v>
      </c>
      <c r="I648" s="11"/>
      <c r="J648" s="11"/>
      <c r="K648" s="11"/>
      <c r="L648" s="11"/>
      <c r="M648" s="11"/>
      <c r="N648" s="11"/>
      <c r="O648" s="11"/>
      <c r="P648" s="11"/>
      <c r="Q648" s="11"/>
      <c r="R648" s="11"/>
      <c r="S648" s="24" t="s">
        <v>30</v>
      </c>
      <c r="T648" s="24" t="s">
        <v>30</v>
      </c>
      <c r="U648" s="24" t="str">
        <f t="shared" si="16"/>
        <v/>
      </c>
      <c r="V648" s="24"/>
    </row>
    <row r="649" spans="1:22" ht="38.25">
      <c r="A649" s="10" t="s">
        <v>433</v>
      </c>
      <c r="B649" s="11" t="str">
        <f>IFERROR(VLOOKUP(A649,Systems!A:B,2,FALSE),"Various")</f>
        <v>Ventilation system</v>
      </c>
      <c r="C649" s="11" t="s">
        <v>1291</v>
      </c>
      <c r="D649" s="11"/>
      <c r="E649" s="11"/>
      <c r="F649" s="24" t="s">
        <v>1067</v>
      </c>
      <c r="G649" s="38"/>
      <c r="H649" s="11" t="s">
        <v>1640</v>
      </c>
      <c r="I649" s="11"/>
      <c r="J649" s="11"/>
      <c r="K649" s="11"/>
      <c r="L649" s="11"/>
      <c r="M649" s="11"/>
      <c r="N649" s="11"/>
      <c r="O649" s="11"/>
      <c r="P649" s="11"/>
      <c r="Q649" s="11"/>
      <c r="R649" s="11"/>
      <c r="S649" s="24" t="s">
        <v>30</v>
      </c>
      <c r="T649" s="24" t="s">
        <v>30</v>
      </c>
      <c r="U649" s="24" t="str">
        <f t="shared" si="16"/>
        <v/>
      </c>
      <c r="V649" s="24"/>
    </row>
    <row r="650" spans="1:22" ht="63.75">
      <c r="A650" s="10" t="s">
        <v>224</v>
      </c>
      <c r="B650" s="11" t="str">
        <f>IFERROR(VLOOKUP(A650,Systems!A:B,2,FALSE),"Various")</f>
        <v>Bilge system</v>
      </c>
      <c r="C650" s="11" t="s">
        <v>1292</v>
      </c>
      <c r="D650" s="11"/>
      <c r="E650" s="11"/>
      <c r="F650" s="24" t="s">
        <v>1067</v>
      </c>
      <c r="G650" s="38"/>
      <c r="H650" s="11" t="s">
        <v>1641</v>
      </c>
      <c r="I650" s="11"/>
      <c r="J650" s="11"/>
      <c r="K650" s="11"/>
      <c r="L650" s="11"/>
      <c r="M650" s="11"/>
      <c r="N650" s="11"/>
      <c r="O650" s="11"/>
      <c r="P650" s="11"/>
      <c r="Q650" s="11"/>
      <c r="R650" s="11"/>
      <c r="S650" s="24"/>
      <c r="T650" s="24"/>
      <c r="U650" s="24" t="str">
        <f>IF(OR(NOT(J650=""),NOT(M650="")),"","x")</f>
        <v>x</v>
      </c>
      <c r="V650" s="24"/>
    </row>
    <row r="651" spans="1:22" ht="63.75">
      <c r="A651" s="10" t="s">
        <v>797</v>
      </c>
      <c r="B651" s="11" t="str">
        <f>IFERROR(VLOOKUP(A651,Systems!A:B,2,FALSE),"Various")</f>
        <v>Working / control air system</v>
      </c>
      <c r="C651" s="11" t="s">
        <v>1293</v>
      </c>
      <c r="D651" s="11"/>
      <c r="E651" s="11"/>
      <c r="F651" s="24" t="s">
        <v>1067</v>
      </c>
      <c r="G651" s="38"/>
      <c r="H651" s="11" t="s">
        <v>1642</v>
      </c>
      <c r="I651" s="11"/>
      <c r="J651" s="11"/>
      <c r="K651" s="11"/>
      <c r="L651" s="11"/>
      <c r="M651" s="11"/>
      <c r="N651" s="11"/>
      <c r="O651" s="11"/>
      <c r="P651" s="11"/>
      <c r="Q651" s="11"/>
      <c r="R651" s="11"/>
      <c r="S651" s="24"/>
      <c r="T651" s="24"/>
      <c r="U651" s="24"/>
      <c r="V651" s="24"/>
    </row>
    <row r="652" spans="1:22" ht="38.25">
      <c r="A652" s="10" t="s">
        <v>797</v>
      </c>
      <c r="B652" s="11" t="str">
        <f>IFERROR(VLOOKUP(A652,Systems!A:B,2,FALSE),"Various")</f>
        <v>Working / control air system</v>
      </c>
      <c r="C652" s="11" t="s">
        <v>1294</v>
      </c>
      <c r="D652" s="11"/>
      <c r="E652" s="11"/>
      <c r="F652" s="24" t="s">
        <v>1067</v>
      </c>
      <c r="G652" s="38"/>
      <c r="H652" s="11" t="s">
        <v>1643</v>
      </c>
      <c r="I652" s="11"/>
      <c r="J652" s="11"/>
      <c r="K652" s="11"/>
      <c r="L652" s="11"/>
      <c r="M652" s="11"/>
      <c r="N652" s="11"/>
      <c r="O652" s="11"/>
      <c r="P652" s="11"/>
      <c r="Q652" s="11"/>
      <c r="R652" s="11"/>
      <c r="S652" s="24"/>
      <c r="T652" s="24"/>
      <c r="U652" s="24"/>
      <c r="V652" s="24"/>
    </row>
    <row r="653" spans="1:22" ht="51">
      <c r="A653" s="10" t="s">
        <v>797</v>
      </c>
      <c r="B653" s="11" t="str">
        <f>IFERROR(VLOOKUP(A653,Systems!A:B,2,FALSE),"Various")</f>
        <v>Working / control air system</v>
      </c>
      <c r="C653" s="11" t="s">
        <v>1295</v>
      </c>
      <c r="D653" s="11"/>
      <c r="E653" s="11"/>
      <c r="F653" s="24" t="s">
        <v>1067</v>
      </c>
      <c r="G653" s="38"/>
      <c r="H653" s="11" t="s">
        <v>1644</v>
      </c>
      <c r="I653" s="11"/>
      <c r="J653" s="11"/>
      <c r="K653" s="11"/>
      <c r="L653" s="11"/>
      <c r="M653" s="11"/>
      <c r="N653" s="11"/>
      <c r="O653" s="11"/>
      <c r="P653" s="11"/>
      <c r="Q653" s="11"/>
      <c r="R653" s="11"/>
      <c r="S653" s="24" t="s">
        <v>30</v>
      </c>
      <c r="T653" s="24"/>
      <c r="U653" s="24" t="str">
        <f t="shared" ref="U653:U661" si="17">IF(OR(NOT(H653=""),NOT(M653="")),"","x")</f>
        <v/>
      </c>
      <c r="V653" s="24"/>
    </row>
    <row r="654" spans="1:22" ht="63.75">
      <c r="A654" s="10" t="s">
        <v>797</v>
      </c>
      <c r="B654" s="11" t="str">
        <f>IFERROR(VLOOKUP(A654,Systems!A:B,2,FALSE),"Various")</f>
        <v>Working / control air system</v>
      </c>
      <c r="C654" s="11" t="s">
        <v>1296</v>
      </c>
      <c r="D654" s="11"/>
      <c r="E654" s="11"/>
      <c r="F654" s="24" t="s">
        <v>1067</v>
      </c>
      <c r="G654" s="38"/>
      <c r="H654" s="11" t="s">
        <v>1645</v>
      </c>
      <c r="I654" s="11"/>
      <c r="J654" s="11"/>
      <c r="K654" s="11"/>
      <c r="L654" s="11"/>
      <c r="M654" s="11"/>
      <c r="N654" s="11"/>
      <c r="O654" s="11"/>
      <c r="P654" s="11"/>
      <c r="Q654" s="11"/>
      <c r="R654" s="11"/>
      <c r="S654" s="24" t="s">
        <v>30</v>
      </c>
      <c r="T654" s="24"/>
      <c r="U654" s="24" t="str">
        <f t="shared" si="17"/>
        <v/>
      </c>
      <c r="V654" s="24"/>
    </row>
    <row r="655" spans="1:22" ht="51">
      <c r="A655" s="10" t="s">
        <v>797</v>
      </c>
      <c r="B655" s="11" t="str">
        <f>IFERROR(VLOOKUP(A655,Systems!A:B,2,FALSE),"Various")</f>
        <v>Working / control air system</v>
      </c>
      <c r="C655" s="11" t="s">
        <v>1297</v>
      </c>
      <c r="D655" s="11"/>
      <c r="E655" s="11"/>
      <c r="F655" s="24" t="s">
        <v>1067</v>
      </c>
      <c r="G655" s="38"/>
      <c r="H655" s="11" t="s">
        <v>1646</v>
      </c>
      <c r="I655" s="11"/>
      <c r="J655" s="11"/>
      <c r="K655" s="11"/>
      <c r="L655" s="11"/>
      <c r="M655" s="11"/>
      <c r="N655" s="11"/>
      <c r="O655" s="11"/>
      <c r="P655" s="11"/>
      <c r="Q655" s="11"/>
      <c r="R655" s="11"/>
      <c r="S655" s="24" t="s">
        <v>30</v>
      </c>
      <c r="T655" s="24" t="s">
        <v>30</v>
      </c>
      <c r="U655" s="24" t="str">
        <f t="shared" si="17"/>
        <v/>
      </c>
      <c r="V655" s="24"/>
    </row>
    <row r="656" spans="1:22" ht="331.5">
      <c r="A656" s="10" t="s">
        <v>455</v>
      </c>
      <c r="B656" s="11" t="str">
        <f>IFERROR(VLOOKUP(A656,Systems!A:B,2,FALSE),"Various")</f>
        <v>Hydraulic system</v>
      </c>
      <c r="C656" s="11" t="s">
        <v>1298</v>
      </c>
      <c r="D656" s="11"/>
      <c r="E656" s="11"/>
      <c r="F656" s="24" t="s">
        <v>1067</v>
      </c>
      <c r="G656" s="38"/>
      <c r="H656" s="11" t="s">
        <v>1647</v>
      </c>
      <c r="I656" s="11"/>
      <c r="J656" s="11"/>
      <c r="K656" s="11"/>
      <c r="L656" s="11"/>
      <c r="M656" s="11"/>
      <c r="N656" s="11"/>
      <c r="O656" s="11"/>
      <c r="P656" s="11"/>
      <c r="Q656" s="11"/>
      <c r="R656" s="11"/>
      <c r="S656" s="24" t="s">
        <v>30</v>
      </c>
      <c r="T656" s="24" t="s">
        <v>30</v>
      </c>
      <c r="U656" s="24" t="str">
        <f t="shared" si="17"/>
        <v/>
      </c>
      <c r="V656" s="24"/>
    </row>
    <row r="657" spans="1:22" ht="76.5">
      <c r="A657" s="10" t="s">
        <v>1271</v>
      </c>
      <c r="B657" s="11" t="str">
        <f>IFERROR(VLOOKUP(A657,Systems!A:B,2,FALSE),"Various")</f>
        <v>Various</v>
      </c>
      <c r="C657" s="11" t="s">
        <v>1311</v>
      </c>
      <c r="D657" s="11"/>
      <c r="E657" s="11"/>
      <c r="F657" s="24" t="s">
        <v>1067</v>
      </c>
      <c r="G657" s="38"/>
      <c r="H657" s="11" t="s">
        <v>1648</v>
      </c>
      <c r="I657" s="11"/>
      <c r="J657" s="11"/>
      <c r="K657" s="11"/>
      <c r="L657" s="11"/>
      <c r="M657" s="11"/>
      <c r="N657" s="11"/>
      <c r="O657" s="11"/>
      <c r="P657" s="11"/>
      <c r="Q657" s="11"/>
      <c r="R657" s="11"/>
      <c r="S657" s="24" t="s">
        <v>30</v>
      </c>
      <c r="T657" s="24" t="s">
        <v>30</v>
      </c>
      <c r="U657" s="24" t="str">
        <f t="shared" si="17"/>
        <v/>
      </c>
      <c r="V657" s="24"/>
    </row>
    <row r="658" spans="1:22" ht="102">
      <c r="A658" s="10" t="s">
        <v>1271</v>
      </c>
      <c r="B658" s="11" t="str">
        <f>IFERROR(VLOOKUP(A658,Systems!A:B,2,FALSE),"Various")</f>
        <v>Various</v>
      </c>
      <c r="C658" s="11" t="s">
        <v>1313</v>
      </c>
      <c r="D658" s="11"/>
      <c r="E658" s="11"/>
      <c r="F658" s="24" t="s">
        <v>1067</v>
      </c>
      <c r="G658" s="38"/>
      <c r="H658" s="11" t="s">
        <v>1649</v>
      </c>
      <c r="I658" s="11"/>
      <c r="J658" s="11"/>
      <c r="K658" s="11"/>
      <c r="L658" s="11"/>
      <c r="M658" s="11"/>
      <c r="N658" s="11"/>
      <c r="O658" s="11"/>
      <c r="P658" s="11"/>
      <c r="Q658" s="11"/>
      <c r="R658" s="11"/>
      <c r="S658" s="24"/>
      <c r="T658" s="24"/>
      <c r="U658" s="24" t="str">
        <f t="shared" si="17"/>
        <v/>
      </c>
      <c r="V658" s="24"/>
    </row>
    <row r="659" spans="1:22" ht="51">
      <c r="A659" s="10" t="s">
        <v>1271</v>
      </c>
      <c r="B659" s="11" t="str">
        <f>IFERROR(VLOOKUP(A659,Systems!A:B,2,FALSE),"Various")</f>
        <v>Various</v>
      </c>
      <c r="C659" s="11" t="s">
        <v>1314</v>
      </c>
      <c r="D659" s="11"/>
      <c r="E659" s="11"/>
      <c r="F659" s="24" t="s">
        <v>1067</v>
      </c>
      <c r="G659" s="38"/>
      <c r="H659" s="11" t="s">
        <v>1650</v>
      </c>
      <c r="I659" s="11"/>
      <c r="J659" s="11"/>
      <c r="K659" s="11"/>
      <c r="L659" s="11"/>
      <c r="M659" s="11"/>
      <c r="N659" s="11"/>
      <c r="O659" s="11"/>
      <c r="P659" s="11"/>
      <c r="Q659" s="11"/>
      <c r="R659" s="11"/>
      <c r="S659" s="24" t="s">
        <v>30</v>
      </c>
      <c r="T659" s="24" t="s">
        <v>30</v>
      </c>
      <c r="U659" s="24" t="str">
        <f t="shared" si="17"/>
        <v/>
      </c>
      <c r="V659" s="24"/>
    </row>
    <row r="660" spans="1:22" ht="102">
      <c r="A660" s="10" t="s">
        <v>833</v>
      </c>
      <c r="B660" s="11" t="str">
        <f>IFERROR(VLOOKUP(A660,Systems!A:B,2,FALSE),"Various")</f>
        <v>Fuel supply system</v>
      </c>
      <c r="C660" s="11" t="s">
        <v>1315</v>
      </c>
      <c r="D660" s="11"/>
      <c r="E660" s="11"/>
      <c r="F660" s="24" t="s">
        <v>1067</v>
      </c>
      <c r="G660" s="38"/>
      <c r="H660" s="11" t="s">
        <v>1651</v>
      </c>
      <c r="I660" s="11"/>
      <c r="J660" s="11"/>
      <c r="K660" s="11"/>
      <c r="L660" s="11"/>
      <c r="M660" s="11"/>
      <c r="N660" s="11"/>
      <c r="O660" s="11"/>
      <c r="P660" s="11"/>
      <c r="Q660" s="11"/>
      <c r="R660" s="11"/>
      <c r="S660" s="24" t="s">
        <v>30</v>
      </c>
      <c r="T660" s="24" t="s">
        <v>30</v>
      </c>
      <c r="U660" s="24" t="str">
        <f t="shared" si="17"/>
        <v/>
      </c>
      <c r="V660" s="24"/>
    </row>
    <row r="661" spans="1:22" ht="216.75">
      <c r="A661" s="10" t="s">
        <v>811</v>
      </c>
      <c r="B661" s="11" t="str">
        <f>IFERROR(VLOOKUP(A661,Systems!A:B,2,FALSE),"Various")</f>
        <v>Starting air system</v>
      </c>
      <c r="C661" s="11" t="s">
        <v>1312</v>
      </c>
      <c r="D661" s="11"/>
      <c r="E661" s="11"/>
      <c r="F661" s="24" t="s">
        <v>1067</v>
      </c>
      <c r="G661" s="38"/>
      <c r="H661" s="11" t="s">
        <v>1652</v>
      </c>
      <c r="I661" s="11"/>
      <c r="J661" s="11"/>
      <c r="K661" s="11"/>
      <c r="L661" s="11"/>
      <c r="M661" s="11"/>
      <c r="N661" s="11"/>
      <c r="O661" s="11"/>
      <c r="P661" s="11"/>
      <c r="Q661" s="11"/>
      <c r="R661" s="11"/>
      <c r="S661" s="24" t="s">
        <v>30</v>
      </c>
      <c r="T661" s="24" t="s">
        <v>30</v>
      </c>
      <c r="U661" s="24" t="str">
        <f t="shared" si="17"/>
        <v/>
      </c>
      <c r="V661" s="24"/>
    </row>
    <row r="662" spans="1:22" ht="76.5">
      <c r="A662" s="10" t="s">
        <v>1271</v>
      </c>
      <c r="B662" s="11" t="str">
        <f>IFERROR(VLOOKUP(A662,Systems!A:B,2,FALSE),"Various")</f>
        <v>Various</v>
      </c>
      <c r="C662" s="11" t="s">
        <v>1312</v>
      </c>
      <c r="D662" s="11"/>
      <c r="E662" s="11"/>
      <c r="F662" s="24" t="s">
        <v>1067</v>
      </c>
      <c r="G662" s="38"/>
      <c r="H662" s="11" t="s">
        <v>1653</v>
      </c>
      <c r="I662" s="11"/>
      <c r="J662" s="11"/>
      <c r="K662" s="11"/>
      <c r="L662" s="11"/>
      <c r="M662" s="11"/>
      <c r="N662" s="11"/>
      <c r="O662" s="11"/>
      <c r="P662" s="11"/>
      <c r="Q662" s="11"/>
      <c r="R662" s="11"/>
      <c r="S662" s="24"/>
      <c r="T662" s="24"/>
      <c r="U662" s="24"/>
      <c r="V662" s="24"/>
    </row>
    <row r="663" spans="1:22" ht="114.75">
      <c r="A663" s="10" t="s">
        <v>1271</v>
      </c>
      <c r="B663" s="11" t="str">
        <f>IFERROR(VLOOKUP(A663,Systems!A:B,2,FALSE),"Various")</f>
        <v>Various</v>
      </c>
      <c r="C663" s="11" t="s">
        <v>1312</v>
      </c>
      <c r="D663" s="11"/>
      <c r="E663" s="11"/>
      <c r="F663" s="24" t="s">
        <v>1067</v>
      </c>
      <c r="G663" s="38"/>
      <c r="H663" s="11" t="s">
        <v>1654</v>
      </c>
      <c r="I663" s="11"/>
      <c r="J663" s="11"/>
      <c r="K663" s="11"/>
      <c r="L663" s="11"/>
      <c r="M663" s="11"/>
      <c r="N663" s="11"/>
      <c r="O663" s="11"/>
      <c r="P663" s="11"/>
      <c r="Q663" s="11"/>
      <c r="R663" s="11"/>
      <c r="S663" s="24"/>
      <c r="T663" s="24"/>
      <c r="U663" s="24"/>
      <c r="V663" s="24"/>
    </row>
    <row r="664" spans="1:22" ht="38.25">
      <c r="A664" s="10" t="s">
        <v>167</v>
      </c>
      <c r="B664" s="11" t="str">
        <f>IFERROR(VLOOKUP(A664,Systems!A:B,2,FALSE),"Various")</f>
        <v>Power generating system</v>
      </c>
      <c r="C664" s="11" t="s">
        <v>1316</v>
      </c>
      <c r="D664" s="11"/>
      <c r="E664" s="11"/>
      <c r="F664" s="24" t="s">
        <v>1067</v>
      </c>
      <c r="G664" s="38"/>
      <c r="H664" s="11" t="s">
        <v>1655</v>
      </c>
      <c r="I664" s="11"/>
      <c r="J664" s="11"/>
      <c r="K664" s="11"/>
      <c r="L664" s="11"/>
      <c r="M664" s="11"/>
      <c r="N664" s="11"/>
      <c r="O664" s="11"/>
      <c r="P664" s="11"/>
      <c r="Q664" s="11"/>
      <c r="R664" s="11"/>
      <c r="S664" s="24"/>
      <c r="T664" s="24"/>
      <c r="U664" s="24"/>
      <c r="V664" s="24"/>
    </row>
    <row r="665" spans="1:22" ht="331.5">
      <c r="A665" s="10" t="s">
        <v>833</v>
      </c>
      <c r="B665" s="11" t="str">
        <f>IFERROR(VLOOKUP(A665,Systems!A:B,2,FALSE),"Various")</f>
        <v>Fuel supply system</v>
      </c>
      <c r="C665" s="11" t="s">
        <v>1330</v>
      </c>
      <c r="D665" s="11"/>
      <c r="E665" s="11"/>
      <c r="F665" s="24" t="s">
        <v>1067</v>
      </c>
      <c r="G665" s="38"/>
      <c r="H665" s="11" t="s">
        <v>1656</v>
      </c>
      <c r="I665" s="11"/>
      <c r="J665" s="11"/>
      <c r="K665" s="11"/>
      <c r="L665" s="11"/>
      <c r="M665" s="11"/>
      <c r="N665" s="11"/>
      <c r="O665" s="11"/>
      <c r="P665" s="11"/>
      <c r="Q665" s="11"/>
      <c r="R665" s="11"/>
      <c r="S665" s="24"/>
      <c r="T665" s="24"/>
      <c r="U665" s="24"/>
      <c r="V665" s="24"/>
    </row>
    <row r="666" spans="1:22" ht="25.5">
      <c r="A666" s="10" t="s">
        <v>813</v>
      </c>
      <c r="B666" s="11" t="str">
        <f>IFERROR(VLOOKUP(A666,Systems!A:B,2,FALSE),"Various")</f>
        <v>Compressed air system</v>
      </c>
      <c r="C666" s="11" t="s">
        <v>1318</v>
      </c>
      <c r="D666" s="11"/>
      <c r="E666" s="11"/>
      <c r="F666" s="24" t="s">
        <v>1067</v>
      </c>
      <c r="G666" s="38"/>
      <c r="H666" s="11" t="s">
        <v>1657</v>
      </c>
      <c r="I666" s="11"/>
      <c r="J666" s="11"/>
      <c r="K666" s="11"/>
      <c r="L666" s="11"/>
      <c r="M666" s="11"/>
      <c r="N666" s="11"/>
      <c r="O666" s="11"/>
      <c r="P666" s="11"/>
      <c r="Q666" s="11"/>
      <c r="R666" s="11"/>
      <c r="S666" s="24"/>
      <c r="T666" s="24"/>
      <c r="U666" s="24"/>
      <c r="V666" s="24"/>
    </row>
    <row r="667" spans="1:22" ht="63.75">
      <c r="A667" s="10" t="s">
        <v>176</v>
      </c>
      <c r="B667" s="11" t="str">
        <f>IFERROR(VLOOKUP(A667,Systems!A:B,2,FALSE),"Various")</f>
        <v>Heating system</v>
      </c>
      <c r="C667" s="11" t="s">
        <v>1328</v>
      </c>
      <c r="D667" s="11"/>
      <c r="E667" s="11"/>
      <c r="F667" s="24" t="s">
        <v>1067</v>
      </c>
      <c r="G667" s="38"/>
      <c r="H667" s="11" t="s">
        <v>1658</v>
      </c>
      <c r="I667" s="11"/>
      <c r="J667" s="11"/>
      <c r="K667" s="11"/>
      <c r="L667" s="11"/>
      <c r="M667" s="11"/>
      <c r="N667" s="11"/>
      <c r="O667" s="11"/>
      <c r="P667" s="11"/>
      <c r="Q667" s="11"/>
      <c r="R667" s="11"/>
      <c r="S667" s="24"/>
      <c r="T667" s="24"/>
      <c r="U667" s="24"/>
      <c r="V667" s="24"/>
    </row>
    <row r="668" spans="1:22" ht="25.5">
      <c r="A668" s="10" t="s">
        <v>181</v>
      </c>
      <c r="B668" s="11" t="str">
        <f>IFERROR(VLOOKUP(A668,Systems!A:B,2,FALSE),"Various")</f>
        <v>Sludge system</v>
      </c>
      <c r="C668" s="11" t="s">
        <v>1329</v>
      </c>
      <c r="D668" s="11"/>
      <c r="E668" s="11"/>
      <c r="F668" s="24" t="s">
        <v>1067</v>
      </c>
      <c r="G668" s="38"/>
      <c r="H668" s="11" t="s">
        <v>1659</v>
      </c>
      <c r="I668" s="11"/>
      <c r="J668" s="11"/>
      <c r="K668" s="11"/>
      <c r="L668" s="11"/>
      <c r="M668" s="11"/>
      <c r="N668" s="11"/>
      <c r="O668" s="11"/>
      <c r="P668" s="11"/>
      <c r="Q668" s="11"/>
      <c r="R668" s="11"/>
      <c r="S668" s="24"/>
      <c r="T668" s="24"/>
      <c r="U668" s="24"/>
      <c r="V668" s="24"/>
    </row>
    <row r="669" spans="1:22" ht="38.25">
      <c r="A669" s="10" t="s">
        <v>573</v>
      </c>
      <c r="B669" s="11" t="str">
        <f>IFERROR(VLOOKUP(A669,Systems!A:B,2,FALSE),"Various")</f>
        <v>Fresh water supply system</v>
      </c>
      <c r="C669" s="11" t="s">
        <v>1331</v>
      </c>
      <c r="D669" s="11"/>
      <c r="E669" s="11"/>
      <c r="F669" s="24" t="s">
        <v>1067</v>
      </c>
      <c r="G669" s="38"/>
      <c r="H669" s="11" t="s">
        <v>1660</v>
      </c>
      <c r="I669" s="11"/>
      <c r="J669" s="11"/>
      <c r="K669" s="11"/>
      <c r="L669" s="11"/>
      <c r="M669" s="11"/>
      <c r="N669" s="11"/>
      <c r="O669" s="11"/>
      <c r="P669" s="11"/>
      <c r="Q669" s="11"/>
      <c r="R669" s="11"/>
      <c r="S669" s="24"/>
      <c r="T669" s="24"/>
      <c r="U669" s="24"/>
      <c r="V669" s="24"/>
    </row>
    <row r="670" spans="1:22" ht="76.5">
      <c r="A670" s="10" t="s">
        <v>176</v>
      </c>
      <c r="B670" s="11" t="str">
        <f>IFERROR(VLOOKUP(A670,Systems!A:B,2,FALSE),"Various")</f>
        <v>Heating system</v>
      </c>
      <c r="C670" s="11" t="s">
        <v>1319</v>
      </c>
      <c r="D670" s="11"/>
      <c r="E670" s="11"/>
      <c r="F670" s="24" t="s">
        <v>1067</v>
      </c>
      <c r="G670" s="38"/>
      <c r="H670" s="11" t="s">
        <v>1661</v>
      </c>
      <c r="I670" s="11"/>
      <c r="J670" s="11"/>
      <c r="K670" s="11"/>
      <c r="L670" s="11"/>
      <c r="M670" s="11"/>
      <c r="N670" s="11"/>
      <c r="O670" s="11"/>
      <c r="P670" s="11"/>
      <c r="Q670" s="11"/>
      <c r="R670" s="11"/>
      <c r="S670" s="24"/>
      <c r="T670" s="24"/>
      <c r="U670" s="24"/>
      <c r="V670" s="24"/>
    </row>
    <row r="671" spans="1:22" ht="102">
      <c r="A671" s="10" t="s">
        <v>176</v>
      </c>
      <c r="B671" s="11" t="str">
        <f>IFERROR(VLOOKUP(A671,Systems!A:B,2,FALSE),"Various")</f>
        <v>Heating system</v>
      </c>
      <c r="C671" s="11" t="s">
        <v>1320</v>
      </c>
      <c r="D671" s="11"/>
      <c r="E671" s="11"/>
      <c r="F671" s="24" t="s">
        <v>1067</v>
      </c>
      <c r="G671" s="38"/>
      <c r="H671" s="11" t="s">
        <v>1662</v>
      </c>
      <c r="I671" s="11"/>
      <c r="J671" s="11"/>
      <c r="K671" s="11"/>
      <c r="L671" s="11"/>
      <c r="M671" s="11"/>
      <c r="N671" s="11"/>
      <c r="O671" s="11"/>
      <c r="P671" s="11"/>
      <c r="Q671" s="11"/>
      <c r="R671" s="11"/>
      <c r="S671" s="24"/>
      <c r="T671" s="24"/>
      <c r="U671" s="24"/>
      <c r="V671" s="24"/>
    </row>
    <row r="672" spans="1:22" ht="51">
      <c r="A672" s="10" t="s">
        <v>176</v>
      </c>
      <c r="B672" s="11" t="str">
        <f>IFERROR(VLOOKUP(A672,Systems!A:B,2,FALSE),"Various")</f>
        <v>Heating system</v>
      </c>
      <c r="C672" s="11" t="s">
        <v>1321</v>
      </c>
      <c r="D672" s="11"/>
      <c r="E672" s="11"/>
      <c r="F672" s="24" t="s">
        <v>1067</v>
      </c>
      <c r="G672" s="38"/>
      <c r="H672" s="11" t="s">
        <v>1663</v>
      </c>
      <c r="I672" s="11"/>
      <c r="J672" s="11"/>
      <c r="K672" s="11"/>
      <c r="L672" s="11"/>
      <c r="M672" s="11"/>
      <c r="N672" s="11"/>
      <c r="O672" s="11"/>
      <c r="P672" s="11"/>
      <c r="Q672" s="11"/>
      <c r="R672" s="11"/>
      <c r="S672" s="24" t="s">
        <v>30</v>
      </c>
      <c r="T672" s="24" t="s">
        <v>30</v>
      </c>
      <c r="U672" s="24" t="str">
        <f t="shared" ref="U672:U693" si="18">IF(OR(NOT(H672=""),NOT(M672="")),"","x")</f>
        <v/>
      </c>
      <c r="V672" s="24"/>
    </row>
    <row r="673" spans="1:22" ht="51">
      <c r="A673" s="10" t="s">
        <v>176</v>
      </c>
      <c r="B673" s="11" t="str">
        <f>IFERROR(VLOOKUP(A673,Systems!A:B,2,FALSE),"Various")</f>
        <v>Heating system</v>
      </c>
      <c r="C673" s="11" t="s">
        <v>1322</v>
      </c>
      <c r="D673" s="11"/>
      <c r="E673" s="11"/>
      <c r="F673" s="24" t="s">
        <v>1067</v>
      </c>
      <c r="G673" s="38"/>
      <c r="H673" s="11" t="s">
        <v>1664</v>
      </c>
      <c r="I673" s="11"/>
      <c r="J673" s="11"/>
      <c r="K673" s="11"/>
      <c r="L673" s="11"/>
      <c r="M673" s="11"/>
      <c r="N673" s="11"/>
      <c r="O673" s="11"/>
      <c r="P673" s="11"/>
      <c r="Q673" s="11"/>
      <c r="R673" s="11"/>
      <c r="S673" s="24" t="s">
        <v>30</v>
      </c>
      <c r="T673" s="24" t="s">
        <v>30</v>
      </c>
      <c r="U673" s="24" t="str">
        <f t="shared" si="18"/>
        <v/>
      </c>
      <c r="V673" s="24"/>
    </row>
    <row r="674" spans="1:22" ht="38.25">
      <c r="A674" s="10" t="s">
        <v>1323</v>
      </c>
      <c r="B674" s="11" t="str">
        <f>IFERROR(VLOOKUP(A674,Systems!A:B,2,FALSE),"Various")</f>
        <v>Various</v>
      </c>
      <c r="C674" s="11" t="s">
        <v>1324</v>
      </c>
      <c r="D674" s="11"/>
      <c r="E674" s="11"/>
      <c r="F674" s="24" t="s">
        <v>1067</v>
      </c>
      <c r="G674" s="38"/>
      <c r="H674" s="11" t="s">
        <v>1665</v>
      </c>
      <c r="I674" s="11"/>
      <c r="J674" s="11"/>
      <c r="K674" s="11"/>
      <c r="L674" s="11"/>
      <c r="M674" s="11"/>
      <c r="N674" s="11"/>
      <c r="O674" s="11"/>
      <c r="P674" s="11"/>
      <c r="Q674" s="11"/>
      <c r="R674" s="11"/>
      <c r="S674" s="24" t="s">
        <v>30</v>
      </c>
      <c r="T674" s="24" t="s">
        <v>30</v>
      </c>
      <c r="U674" s="24" t="str">
        <f t="shared" si="18"/>
        <v/>
      </c>
      <c r="V674" s="24"/>
    </row>
    <row r="675" spans="1:22" ht="63.75">
      <c r="A675" s="10" t="s">
        <v>833</v>
      </c>
      <c r="B675" s="11" t="str">
        <f>IFERROR(VLOOKUP(A675,Systems!A:B,2,FALSE),"Various")</f>
        <v>Fuel supply system</v>
      </c>
      <c r="C675" s="11" t="s">
        <v>1327</v>
      </c>
      <c r="D675" s="11"/>
      <c r="E675" s="11"/>
      <c r="F675" s="24" t="s">
        <v>1067</v>
      </c>
      <c r="G675" s="38"/>
      <c r="H675" s="11" t="s">
        <v>1666</v>
      </c>
      <c r="I675" s="11"/>
      <c r="J675" s="11"/>
      <c r="K675" s="11"/>
      <c r="L675" s="11"/>
      <c r="M675" s="11"/>
      <c r="N675" s="11"/>
      <c r="O675" s="11"/>
      <c r="P675" s="11"/>
      <c r="Q675" s="11"/>
      <c r="R675" s="11"/>
      <c r="S675" s="24" t="s">
        <v>30</v>
      </c>
      <c r="T675" s="24" t="s">
        <v>30</v>
      </c>
      <c r="U675" s="24" t="str">
        <f t="shared" si="18"/>
        <v/>
      </c>
      <c r="V675" s="24"/>
    </row>
    <row r="676" spans="1:22" ht="89.25">
      <c r="A676" s="10" t="s">
        <v>825</v>
      </c>
      <c r="B676" s="11" t="str">
        <f>IFERROR(VLOOKUP(A676,Systems!A:B,2,FALSE),"Various")</f>
        <v>Generator sets</v>
      </c>
      <c r="C676" s="11" t="s">
        <v>1332</v>
      </c>
      <c r="D676" s="11"/>
      <c r="E676" s="11"/>
      <c r="F676" s="24" t="s">
        <v>1067</v>
      </c>
      <c r="G676" s="38"/>
      <c r="H676" s="11" t="s">
        <v>1667</v>
      </c>
      <c r="I676" s="11"/>
      <c r="J676" s="11"/>
      <c r="K676" s="11"/>
      <c r="L676" s="11"/>
      <c r="M676" s="11"/>
      <c r="N676" s="11"/>
      <c r="O676" s="11"/>
      <c r="P676" s="11"/>
      <c r="Q676" s="11"/>
      <c r="R676" s="11"/>
      <c r="S676" s="24" t="s">
        <v>30</v>
      </c>
      <c r="T676" s="24" t="s">
        <v>30</v>
      </c>
      <c r="U676" s="24" t="str">
        <f t="shared" si="18"/>
        <v/>
      </c>
      <c r="V676" s="24"/>
    </row>
    <row r="677" spans="1:22" ht="63.75">
      <c r="A677" s="10" t="s">
        <v>825</v>
      </c>
      <c r="B677" s="11" t="str">
        <f>IFERROR(VLOOKUP(A677,Systems!A:B,2,FALSE),"Various")</f>
        <v>Generator sets</v>
      </c>
      <c r="C677" s="11" t="s">
        <v>1333</v>
      </c>
      <c r="D677" s="11"/>
      <c r="E677" s="11"/>
      <c r="F677" s="24" t="s">
        <v>1067</v>
      </c>
      <c r="G677" s="38"/>
      <c r="H677" s="11" t="s">
        <v>1668</v>
      </c>
      <c r="I677" s="11"/>
      <c r="J677" s="11"/>
      <c r="K677" s="11"/>
      <c r="L677" s="11"/>
      <c r="M677" s="11"/>
      <c r="N677" s="11"/>
      <c r="O677" s="11"/>
      <c r="P677" s="11"/>
      <c r="Q677" s="11"/>
      <c r="R677" s="11"/>
      <c r="S677" s="24" t="s">
        <v>30</v>
      </c>
      <c r="T677" s="24"/>
      <c r="U677" s="24" t="str">
        <f t="shared" si="18"/>
        <v/>
      </c>
      <c r="V677" s="24"/>
    </row>
    <row r="678" spans="1:22" ht="114.75">
      <c r="A678" s="10" t="s">
        <v>825</v>
      </c>
      <c r="B678" s="11" t="str">
        <f>IFERROR(VLOOKUP(A678,Systems!A:B,2,FALSE),"Various")</f>
        <v>Generator sets</v>
      </c>
      <c r="C678" s="11" t="s">
        <v>1338</v>
      </c>
      <c r="D678" s="11"/>
      <c r="E678" s="11"/>
      <c r="F678" s="24" t="s">
        <v>1067</v>
      </c>
      <c r="G678" s="38"/>
      <c r="H678" s="11" t="s">
        <v>1669</v>
      </c>
      <c r="I678" s="11"/>
      <c r="J678" s="11"/>
      <c r="K678" s="11"/>
      <c r="L678" s="11"/>
      <c r="M678" s="11"/>
      <c r="N678" s="11"/>
      <c r="O678" s="11"/>
      <c r="P678" s="11"/>
      <c r="Q678" s="11"/>
      <c r="R678" s="11"/>
      <c r="S678" s="24" t="s">
        <v>30</v>
      </c>
      <c r="T678" s="24" t="s">
        <v>30</v>
      </c>
      <c r="U678" s="24" t="str">
        <f t="shared" si="18"/>
        <v/>
      </c>
      <c r="V678" s="24"/>
    </row>
    <row r="679" spans="1:22" ht="76.5">
      <c r="A679" s="10" t="s">
        <v>856</v>
      </c>
      <c r="B679" s="11" t="str">
        <f>IFERROR(VLOOKUP(A679,Systems!A:B,2,FALSE),"Various")</f>
        <v>Thrust systems / shafts</v>
      </c>
      <c r="C679" s="11" t="s">
        <v>1317</v>
      </c>
      <c r="D679" s="11"/>
      <c r="E679" s="11"/>
      <c r="F679" s="24" t="s">
        <v>1067</v>
      </c>
      <c r="G679" s="38"/>
      <c r="H679" s="11" t="s">
        <v>1670</v>
      </c>
      <c r="I679" s="11"/>
      <c r="J679" s="11"/>
      <c r="K679" s="11"/>
      <c r="L679" s="11"/>
      <c r="M679" s="11"/>
      <c r="N679" s="11"/>
      <c r="O679" s="11"/>
      <c r="P679" s="11"/>
      <c r="Q679" s="11"/>
      <c r="R679" s="11"/>
      <c r="S679" s="24" t="s">
        <v>30</v>
      </c>
      <c r="T679" s="24" t="s">
        <v>30</v>
      </c>
      <c r="U679" s="24" t="str">
        <f t="shared" si="18"/>
        <v/>
      </c>
      <c r="V679" s="24"/>
    </row>
    <row r="680" spans="1:22" ht="51">
      <c r="A680" s="10" t="s">
        <v>1325</v>
      </c>
      <c r="B680" s="11" t="str">
        <f>IFERROR(VLOOKUP(A680,Systems!A:B,2,FALSE),"Various")</f>
        <v>Various</v>
      </c>
      <c r="C680" s="11" t="s">
        <v>1326</v>
      </c>
      <c r="D680" s="11"/>
      <c r="E680" s="11"/>
      <c r="F680" s="24" t="s">
        <v>1067</v>
      </c>
      <c r="G680" s="38"/>
      <c r="H680" s="11" t="s">
        <v>1671</v>
      </c>
      <c r="I680" s="11"/>
      <c r="J680" s="11"/>
      <c r="K680" s="11"/>
      <c r="L680" s="11"/>
      <c r="M680" s="11"/>
      <c r="N680" s="11"/>
      <c r="O680" s="11"/>
      <c r="P680" s="11"/>
      <c r="Q680" s="11"/>
      <c r="R680" s="11"/>
      <c r="S680" s="24" t="s">
        <v>30</v>
      </c>
      <c r="T680" s="24"/>
      <c r="U680" s="24" t="str">
        <f t="shared" si="18"/>
        <v/>
      </c>
      <c r="V680" s="24"/>
    </row>
    <row r="681" spans="1:22" ht="102">
      <c r="A681" s="10" t="s">
        <v>2054</v>
      </c>
      <c r="B681" s="11" t="str">
        <f>IFERROR(VLOOKUP(A681,Systems!A:B,2,FALSE),"Various")</f>
        <v>Various</v>
      </c>
      <c r="C681" s="11" t="s">
        <v>2055</v>
      </c>
      <c r="D681" s="11"/>
      <c r="E681" s="11"/>
      <c r="F681" s="24" t="s">
        <v>1067</v>
      </c>
      <c r="G681" s="38"/>
      <c r="H681" s="11" t="s">
        <v>2056</v>
      </c>
      <c r="I681" s="11"/>
      <c r="J681" s="11"/>
      <c r="K681" s="11"/>
      <c r="L681" s="11"/>
      <c r="M681" s="11"/>
      <c r="N681" s="11"/>
      <c r="O681" s="11"/>
      <c r="P681" s="11"/>
      <c r="Q681" s="11"/>
      <c r="R681" s="11"/>
      <c r="S681" s="24" t="s">
        <v>30</v>
      </c>
      <c r="T681" s="24" t="s">
        <v>30</v>
      </c>
      <c r="U681" s="24" t="str">
        <f t="shared" si="18"/>
        <v/>
      </c>
      <c r="V681" s="24"/>
    </row>
    <row r="682" spans="1:22" ht="229.5">
      <c r="A682" s="10" t="s">
        <v>224</v>
      </c>
      <c r="B682" s="11" t="str">
        <f>IFERROR(VLOOKUP(A682,Systems!A:B,2,FALSE),"Various")</f>
        <v>Bilge system</v>
      </c>
      <c r="C682" s="11" t="s">
        <v>1086</v>
      </c>
      <c r="D682" s="11"/>
      <c r="E682" s="11"/>
      <c r="F682" s="24" t="s">
        <v>1067</v>
      </c>
      <c r="G682" s="38"/>
      <c r="H682" s="11" t="s">
        <v>1453</v>
      </c>
      <c r="I682" s="11"/>
      <c r="J682" s="11"/>
      <c r="K682" s="11"/>
      <c r="L682" s="11"/>
      <c r="M682" s="11"/>
      <c r="N682" s="11" t="s">
        <v>1192</v>
      </c>
      <c r="O682" s="11"/>
      <c r="P682" s="11"/>
      <c r="Q682" s="11"/>
      <c r="R682" s="11"/>
      <c r="S682" s="24" t="s">
        <v>30</v>
      </c>
      <c r="T682" s="24" t="s">
        <v>30</v>
      </c>
      <c r="U682" s="24" t="str">
        <f t="shared" si="18"/>
        <v/>
      </c>
      <c r="V682" s="24"/>
    </row>
    <row r="683" spans="1:22" ht="306">
      <c r="A683" s="10" t="s">
        <v>925</v>
      </c>
      <c r="B683" s="11" t="str">
        <f>IFERROR(VLOOKUP(A683,Systems!A:B,2,FALSE),"Various")</f>
        <v>Various</v>
      </c>
      <c r="C683" s="11" t="s">
        <v>926</v>
      </c>
      <c r="D683" s="11"/>
      <c r="E683" s="11"/>
      <c r="F683" s="24" t="s">
        <v>1067</v>
      </c>
      <c r="G683" s="38"/>
      <c r="H683" s="11" t="s">
        <v>1452</v>
      </c>
      <c r="I683" s="11"/>
      <c r="J683" s="11"/>
      <c r="K683" s="11"/>
      <c r="L683" s="11"/>
      <c r="M683" s="11"/>
      <c r="N683" s="11" t="s">
        <v>1192</v>
      </c>
      <c r="O683" s="11"/>
      <c r="P683" s="11"/>
      <c r="Q683" s="11"/>
      <c r="R683" s="11"/>
      <c r="S683" s="24" t="s">
        <v>30</v>
      </c>
      <c r="T683" s="24" t="s">
        <v>30</v>
      </c>
      <c r="U683" s="24" t="str">
        <f t="shared" si="18"/>
        <v/>
      </c>
      <c r="V683" s="24"/>
    </row>
    <row r="684" spans="1:22" ht="280.5">
      <c r="A684" s="10" t="s">
        <v>1088</v>
      </c>
      <c r="B684" s="11" t="str">
        <f>IFERROR(VLOOKUP(A684,Systems!A:B,2,FALSE),"Various")</f>
        <v>Various</v>
      </c>
      <c r="C684" s="11" t="s">
        <v>1087</v>
      </c>
      <c r="D684" s="11"/>
      <c r="E684" s="11"/>
      <c r="F684" s="24" t="s">
        <v>1067</v>
      </c>
      <c r="G684" s="38"/>
      <c r="H684" s="11" t="s">
        <v>1454</v>
      </c>
      <c r="I684" s="11"/>
      <c r="J684" s="11"/>
      <c r="K684" s="11"/>
      <c r="L684" s="11"/>
      <c r="M684" s="11"/>
      <c r="N684" s="11"/>
      <c r="O684" s="11"/>
      <c r="P684" s="11"/>
      <c r="Q684" s="11"/>
      <c r="R684" s="11"/>
      <c r="S684" s="24" t="s">
        <v>30</v>
      </c>
      <c r="T684" s="24" t="s">
        <v>30</v>
      </c>
      <c r="U684" s="24" t="str">
        <f t="shared" si="18"/>
        <v/>
      </c>
      <c r="V684" s="24"/>
    </row>
    <row r="685" spans="1:22" ht="51">
      <c r="A685" s="10" t="s">
        <v>1109</v>
      </c>
      <c r="B685" s="11" t="str">
        <f>IFERROR(VLOOKUP(A685,Systems!A:B,2,FALSE),"Various")</f>
        <v>Fuel-oil systems</v>
      </c>
      <c r="C685" s="11" t="s">
        <v>1187</v>
      </c>
      <c r="D685" s="11"/>
      <c r="E685" s="11"/>
      <c r="F685" s="24" t="s">
        <v>1466</v>
      </c>
      <c r="G685" s="38"/>
      <c r="H685" s="11" t="s">
        <v>1465</v>
      </c>
      <c r="I685" s="11"/>
      <c r="J685" s="11"/>
      <c r="K685" s="11"/>
      <c r="L685" s="11"/>
      <c r="M685" s="11"/>
      <c r="N685" s="11"/>
      <c r="O685" s="11"/>
      <c r="P685" s="11"/>
      <c r="Q685" s="11"/>
      <c r="R685" s="11"/>
      <c r="S685" s="24"/>
      <c r="T685" s="24"/>
      <c r="U685" s="24" t="str">
        <f t="shared" si="18"/>
        <v/>
      </c>
      <c r="V685" s="24"/>
    </row>
    <row r="686" spans="1:22" ht="216.75">
      <c r="A686" s="10" t="s">
        <v>833</v>
      </c>
      <c r="B686" s="11" t="str">
        <f>IFERROR(VLOOKUP(A686,Systems!A:B,2,FALSE),"Various")</f>
        <v>Fuel supply system</v>
      </c>
      <c r="C686" s="11" t="s">
        <v>1450</v>
      </c>
      <c r="D686" s="11"/>
      <c r="E686" s="11"/>
      <c r="F686" s="24" t="s">
        <v>1466</v>
      </c>
      <c r="G686" s="38"/>
      <c r="H686" s="11" t="s">
        <v>1772</v>
      </c>
      <c r="I686" s="11"/>
      <c r="J686" s="11"/>
      <c r="K686" s="11"/>
      <c r="L686" s="11"/>
      <c r="M686" s="11"/>
      <c r="N686" s="11"/>
      <c r="O686" s="11"/>
      <c r="P686" s="11"/>
      <c r="Q686" s="11"/>
      <c r="R686" s="11"/>
      <c r="S686" s="24"/>
      <c r="T686" s="24"/>
      <c r="U686" s="24" t="str">
        <f t="shared" si="18"/>
        <v/>
      </c>
      <c r="V686" s="24"/>
    </row>
    <row r="687" spans="1:22" ht="216.75">
      <c r="A687" s="10" t="s">
        <v>811</v>
      </c>
      <c r="B687" s="11" t="str">
        <f>IFERROR(VLOOKUP(A687,Systems!A:B,2,FALSE),"Various")</f>
        <v>Starting air system</v>
      </c>
      <c r="C687" s="11" t="s">
        <v>2090</v>
      </c>
      <c r="D687" s="11"/>
      <c r="E687" s="11"/>
      <c r="F687" s="24" t="s">
        <v>1064</v>
      </c>
      <c r="G687" s="38"/>
      <c r="H687" s="11" t="s">
        <v>2314</v>
      </c>
      <c r="I687" s="11"/>
      <c r="J687" s="11" t="s">
        <v>2089</v>
      </c>
      <c r="K687" s="11"/>
      <c r="L687" s="11"/>
      <c r="M687" s="11"/>
      <c r="N687" s="11"/>
      <c r="O687" s="11"/>
      <c r="P687" s="11"/>
      <c r="Q687" s="11"/>
      <c r="R687" s="11"/>
      <c r="S687" s="24" t="s">
        <v>30</v>
      </c>
      <c r="T687" s="24"/>
      <c r="U687" s="24" t="str">
        <f t="shared" si="18"/>
        <v/>
      </c>
      <c r="V687" s="24"/>
    </row>
    <row r="688" spans="1:22" ht="165.75">
      <c r="A688" s="10" t="s">
        <v>797</v>
      </c>
      <c r="B688" s="11" t="str">
        <f>IFERROR(VLOOKUP(A688,Systems!A:B,2,FALSE),"Various")</f>
        <v>Working / control air system</v>
      </c>
      <c r="C688" s="11" t="s">
        <v>2069</v>
      </c>
      <c r="D688" s="11"/>
      <c r="E688" s="11"/>
      <c r="F688" s="24" t="s">
        <v>1064</v>
      </c>
      <c r="G688" s="38"/>
      <c r="H688" s="11"/>
      <c r="I688" s="11"/>
      <c r="J688" s="11" t="s">
        <v>2070</v>
      </c>
      <c r="K688" s="11"/>
      <c r="L688" s="11"/>
      <c r="M688" s="11"/>
      <c r="N688" s="11"/>
      <c r="O688" s="11"/>
      <c r="P688" s="11"/>
      <c r="Q688" s="11"/>
      <c r="R688" s="11"/>
      <c r="S688" s="24" t="s">
        <v>30</v>
      </c>
      <c r="T688" s="24" t="s">
        <v>30</v>
      </c>
      <c r="U688" s="24" t="str">
        <f t="shared" si="18"/>
        <v>x</v>
      </c>
      <c r="V688" s="24"/>
    </row>
    <row r="689" spans="1:22" ht="38.25">
      <c r="A689" s="10" t="s">
        <v>797</v>
      </c>
      <c r="B689" s="11" t="str">
        <f>IFERROR(VLOOKUP(A689,Systems!A:B,2,FALSE),"Various")</f>
        <v>Working / control air system</v>
      </c>
      <c r="C689" s="11" t="s">
        <v>2071</v>
      </c>
      <c r="D689" s="11"/>
      <c r="E689" s="11"/>
      <c r="F689" s="24" t="s">
        <v>1064</v>
      </c>
      <c r="G689" s="38"/>
      <c r="H689" s="11"/>
      <c r="I689" s="11"/>
      <c r="J689" s="11" t="s">
        <v>2072</v>
      </c>
      <c r="K689" s="11"/>
      <c r="L689" s="11"/>
      <c r="M689" s="11"/>
      <c r="N689" s="11"/>
      <c r="O689" s="11"/>
      <c r="P689" s="11"/>
      <c r="Q689" s="11"/>
      <c r="R689" s="11"/>
      <c r="S689" s="24" t="s">
        <v>30</v>
      </c>
      <c r="T689" s="24" t="s">
        <v>30</v>
      </c>
      <c r="U689" s="24" t="str">
        <f t="shared" si="18"/>
        <v>x</v>
      </c>
      <c r="V689" s="24"/>
    </row>
    <row r="690" spans="1:22" ht="38.25">
      <c r="A690" s="10" t="s">
        <v>797</v>
      </c>
      <c r="B690" s="11" t="str">
        <f>IFERROR(VLOOKUP(A690,Systems!A:B,2,FALSE),"Various")</f>
        <v>Working / control air system</v>
      </c>
      <c r="C690" s="11" t="s">
        <v>2074</v>
      </c>
      <c r="D690" s="11"/>
      <c r="E690" s="11"/>
      <c r="F690" s="24" t="s">
        <v>1064</v>
      </c>
      <c r="G690" s="38"/>
      <c r="H690" s="11"/>
      <c r="I690" s="11"/>
      <c r="J690" s="11" t="s">
        <v>2073</v>
      </c>
      <c r="K690" s="11"/>
      <c r="L690" s="11"/>
      <c r="M690" s="11"/>
      <c r="N690" s="11"/>
      <c r="O690" s="11"/>
      <c r="P690" s="11"/>
      <c r="Q690" s="11"/>
      <c r="R690" s="11"/>
      <c r="S690" s="24" t="s">
        <v>30</v>
      </c>
      <c r="T690" s="24"/>
      <c r="U690" s="24" t="str">
        <f t="shared" si="18"/>
        <v>x</v>
      </c>
      <c r="V690" s="24"/>
    </row>
    <row r="691" spans="1:22" ht="63.75">
      <c r="A691" s="10" t="s">
        <v>813</v>
      </c>
      <c r="B691" s="11" t="str">
        <f>IFERROR(VLOOKUP(A691,Systems!A:B,2,FALSE),"Various")</f>
        <v>Compressed air system</v>
      </c>
      <c r="C691" s="11" t="s">
        <v>61</v>
      </c>
      <c r="D691" s="11"/>
      <c r="E691" s="11"/>
      <c r="F691" s="24" t="s">
        <v>1064</v>
      </c>
      <c r="G691" s="38"/>
      <c r="H691" s="11"/>
      <c r="I691" s="11"/>
      <c r="J691" s="11" t="s">
        <v>2066</v>
      </c>
      <c r="K691" s="11"/>
      <c r="L691" s="11"/>
      <c r="M691" s="11"/>
      <c r="N691" s="11"/>
      <c r="O691" s="11"/>
      <c r="P691" s="11"/>
      <c r="Q691" s="11"/>
      <c r="R691" s="11"/>
      <c r="S691" s="24" t="s">
        <v>30</v>
      </c>
      <c r="T691" s="24"/>
      <c r="U691" s="24" t="str">
        <f t="shared" si="18"/>
        <v>x</v>
      </c>
      <c r="V691" s="24"/>
    </row>
    <row r="692" spans="1:22" ht="114.75">
      <c r="A692" s="10" t="s">
        <v>813</v>
      </c>
      <c r="B692" s="11" t="str">
        <f>IFERROR(VLOOKUP(A692,Systems!A:B,2,FALSE),"Various")</f>
        <v>Compressed air system</v>
      </c>
      <c r="C692" s="11" t="s">
        <v>49</v>
      </c>
      <c r="D692" s="11"/>
      <c r="E692" s="11"/>
      <c r="F692" s="24" t="s">
        <v>1064</v>
      </c>
      <c r="G692" s="38"/>
      <c r="H692" s="11"/>
      <c r="I692" s="11"/>
      <c r="J692" s="11" t="s">
        <v>2067</v>
      </c>
      <c r="K692" s="11"/>
      <c r="L692" s="11"/>
      <c r="M692" s="11"/>
      <c r="N692" s="11"/>
      <c r="O692" s="11"/>
      <c r="P692" s="11"/>
      <c r="Q692" s="11"/>
      <c r="R692" s="11"/>
      <c r="S692" s="24"/>
      <c r="T692" s="24"/>
      <c r="U692" s="24" t="str">
        <f t="shared" si="18"/>
        <v>x</v>
      </c>
      <c r="V692" s="24"/>
    </row>
    <row r="693" spans="1:22" ht="63.75">
      <c r="A693" s="10" t="s">
        <v>811</v>
      </c>
      <c r="B693" s="11" t="str">
        <f>IFERROR(VLOOKUP(A693,Systems!A:B,2,FALSE),"Various")</f>
        <v>Starting air system</v>
      </c>
      <c r="C693" s="11" t="s">
        <v>1110</v>
      </c>
      <c r="D693" s="11"/>
      <c r="E693" s="11"/>
      <c r="F693" s="24" t="s">
        <v>1064</v>
      </c>
      <c r="G693" s="38"/>
      <c r="H693" s="11"/>
      <c r="I693" s="11"/>
      <c r="J693" s="11" t="s">
        <v>2068</v>
      </c>
      <c r="K693" s="11"/>
      <c r="L693" s="11"/>
      <c r="M693" s="11"/>
      <c r="N693" s="11"/>
      <c r="O693" s="11"/>
      <c r="P693" s="11"/>
      <c r="Q693" s="11"/>
      <c r="R693" s="11"/>
      <c r="S693" s="24"/>
      <c r="T693" s="24"/>
      <c r="U693" s="24" t="str">
        <f t="shared" si="18"/>
        <v>x</v>
      </c>
      <c r="V693" s="24"/>
    </row>
    <row r="694" spans="1:22" ht="114.75">
      <c r="A694" s="10" t="s">
        <v>811</v>
      </c>
      <c r="B694" s="11" t="str">
        <f>IFERROR(VLOOKUP(A694,Systems!A:B,2,FALSE),"Various")</f>
        <v>Starting air system</v>
      </c>
      <c r="C694" s="11" t="s">
        <v>2063</v>
      </c>
      <c r="D694" s="11"/>
      <c r="E694" s="11"/>
      <c r="F694" s="24" t="s">
        <v>1064</v>
      </c>
      <c r="G694" s="38"/>
      <c r="H694" s="11"/>
      <c r="I694" s="11"/>
      <c r="J694" s="11" t="s">
        <v>2064</v>
      </c>
      <c r="K694" s="11"/>
      <c r="L694" s="11"/>
      <c r="M694" s="11"/>
      <c r="N694" s="11"/>
      <c r="O694" s="11"/>
      <c r="P694" s="11"/>
      <c r="Q694" s="11"/>
      <c r="R694" s="11"/>
      <c r="S694" s="24"/>
      <c r="T694" s="24"/>
      <c r="U694" s="24"/>
      <c r="V694" s="24"/>
    </row>
    <row r="695" spans="1:22" ht="318.75">
      <c r="A695" s="10" t="s">
        <v>811</v>
      </c>
      <c r="B695" s="11" t="str">
        <f>IFERROR(VLOOKUP(A695,Systems!A:B,2,FALSE),"Various")</f>
        <v>Starting air system</v>
      </c>
      <c r="C695" s="11" t="s">
        <v>2062</v>
      </c>
      <c r="D695" s="11"/>
      <c r="E695" s="11"/>
      <c r="F695" s="24" t="s">
        <v>1064</v>
      </c>
      <c r="G695" s="38"/>
      <c r="H695" s="11"/>
      <c r="I695" s="11"/>
      <c r="J695" s="11" t="s">
        <v>2065</v>
      </c>
      <c r="K695" s="11"/>
      <c r="L695" s="11"/>
      <c r="M695" s="11"/>
      <c r="N695" s="11"/>
      <c r="O695" s="11"/>
      <c r="P695" s="11"/>
      <c r="Q695" s="11"/>
      <c r="R695" s="11"/>
      <c r="S695" s="24" t="s">
        <v>1305</v>
      </c>
      <c r="T695" s="24"/>
      <c r="U695" s="24"/>
      <c r="V695" s="24"/>
    </row>
    <row r="696" spans="1:22" ht="114.75">
      <c r="A696" s="10" t="s">
        <v>797</v>
      </c>
      <c r="B696" s="11" t="str">
        <f>IFERROR(VLOOKUP(A696,Systems!A:B,2,FALSE),"Various")</f>
        <v>Working / control air system</v>
      </c>
      <c r="C696" s="11" t="s">
        <v>2075</v>
      </c>
      <c r="D696" s="11"/>
      <c r="E696" s="11"/>
      <c r="F696" s="24" t="s">
        <v>1064</v>
      </c>
      <c r="G696" s="38"/>
      <c r="H696" s="11"/>
      <c r="I696" s="11"/>
      <c r="J696" s="11" t="s">
        <v>2077</v>
      </c>
      <c r="K696" s="11"/>
      <c r="L696" s="11"/>
      <c r="M696" s="11"/>
      <c r="N696" s="11"/>
      <c r="O696" s="11"/>
      <c r="P696" s="11"/>
      <c r="Q696" s="11"/>
      <c r="R696" s="11"/>
      <c r="S696" s="24" t="s">
        <v>30</v>
      </c>
      <c r="T696" s="24"/>
      <c r="U696" s="24" t="str">
        <f>IF(OR(NOT(H696=""),NOT(M696="")),"","x")</f>
        <v>x</v>
      </c>
      <c r="V696" s="24"/>
    </row>
    <row r="697" spans="1:22" ht="25.5">
      <c r="A697" s="10" t="s">
        <v>797</v>
      </c>
      <c r="B697" s="11" t="str">
        <f>IFERROR(VLOOKUP(A697,Systems!A:B,2,FALSE),"Various")</f>
        <v>Working / control air system</v>
      </c>
      <c r="C697" s="11" t="s">
        <v>2081</v>
      </c>
      <c r="D697" s="11"/>
      <c r="E697" s="11"/>
      <c r="F697" s="24" t="s">
        <v>1064</v>
      </c>
      <c r="G697" s="38"/>
      <c r="H697" s="11"/>
      <c r="I697" s="11"/>
      <c r="J697" s="11" t="s">
        <v>2082</v>
      </c>
      <c r="K697" s="11"/>
      <c r="L697" s="11"/>
      <c r="M697" s="11"/>
      <c r="N697" s="11"/>
      <c r="O697" s="11"/>
      <c r="P697" s="11"/>
      <c r="Q697" s="11"/>
      <c r="R697" s="11"/>
      <c r="S697" s="24" t="s">
        <v>1305</v>
      </c>
      <c r="T697" s="24"/>
      <c r="U697" s="24"/>
      <c r="V697" s="24"/>
    </row>
    <row r="698" spans="1:22" ht="25.5">
      <c r="A698" s="10" t="s">
        <v>797</v>
      </c>
      <c r="B698" s="11" t="str">
        <f>IFERROR(VLOOKUP(A698,Systems!A:B,2,FALSE),"Various")</f>
        <v>Working / control air system</v>
      </c>
      <c r="C698" s="11" t="s">
        <v>2076</v>
      </c>
      <c r="D698" s="11"/>
      <c r="E698" s="11"/>
      <c r="F698" s="24" t="s">
        <v>1064</v>
      </c>
      <c r="G698" s="38"/>
      <c r="H698" s="11"/>
      <c r="I698" s="11"/>
      <c r="J698" s="11" t="s">
        <v>2078</v>
      </c>
      <c r="K698" s="11"/>
      <c r="L698" s="11"/>
      <c r="M698" s="11"/>
      <c r="N698" s="11"/>
      <c r="O698" s="11"/>
      <c r="P698" s="11"/>
      <c r="Q698" s="11"/>
      <c r="R698" s="11"/>
      <c r="S698" s="24" t="s">
        <v>1305</v>
      </c>
      <c r="T698" s="24"/>
      <c r="U698" s="24"/>
      <c r="V698" s="24"/>
    </row>
    <row r="699" spans="1:22" ht="51">
      <c r="A699" s="10" t="s">
        <v>797</v>
      </c>
      <c r="B699" s="11" t="str">
        <f>IFERROR(VLOOKUP(A699,Systems!A:B,2,FALSE),"Various")</f>
        <v>Working / control air system</v>
      </c>
      <c r="C699" s="11" t="s">
        <v>1175</v>
      </c>
      <c r="D699" s="11"/>
      <c r="E699" s="11"/>
      <c r="F699" s="24" t="s">
        <v>1064</v>
      </c>
      <c r="G699" s="38"/>
      <c r="H699" s="11"/>
      <c r="I699" s="11"/>
      <c r="J699" s="11" t="s">
        <v>2079</v>
      </c>
      <c r="K699" s="11"/>
      <c r="L699" s="11"/>
      <c r="M699" s="11"/>
      <c r="N699" s="11"/>
      <c r="O699" s="11"/>
      <c r="P699" s="11"/>
      <c r="Q699" s="11"/>
      <c r="R699" s="11"/>
      <c r="S699" s="24" t="s">
        <v>1305</v>
      </c>
      <c r="T699" s="24"/>
      <c r="U699" s="24"/>
      <c r="V699" s="24"/>
    </row>
    <row r="700" spans="1:22" ht="25.5">
      <c r="A700" s="10" t="s">
        <v>797</v>
      </c>
      <c r="B700" s="11" t="str">
        <f>IFERROR(VLOOKUP(A700,Systems!A:B,2,FALSE),"Various")</f>
        <v>Working / control air system</v>
      </c>
      <c r="C700" s="11" t="s">
        <v>1176</v>
      </c>
      <c r="D700" s="11"/>
      <c r="E700" s="11"/>
      <c r="F700" s="24" t="s">
        <v>1064</v>
      </c>
      <c r="G700" s="38"/>
      <c r="H700" s="11"/>
      <c r="I700" s="11"/>
      <c r="J700" s="11" t="s">
        <v>2080</v>
      </c>
      <c r="K700" s="11"/>
      <c r="L700" s="11"/>
      <c r="M700" s="11"/>
      <c r="N700" s="11"/>
      <c r="O700" s="11"/>
      <c r="P700" s="11"/>
      <c r="Q700" s="11"/>
      <c r="R700" s="11"/>
      <c r="S700" s="24" t="s">
        <v>30</v>
      </c>
      <c r="T700" s="24"/>
      <c r="U700" s="24"/>
      <c r="V700" s="24"/>
    </row>
    <row r="701" spans="1:22" ht="89.25">
      <c r="A701" s="10" t="s">
        <v>242</v>
      </c>
      <c r="B701" s="11" t="str">
        <f>IFERROR(VLOOKUP(A701,Systems!A:B,2,FALSE),"Various")</f>
        <v>Sounding and de-aeration</v>
      </c>
      <c r="C701" s="11" t="s">
        <v>1992</v>
      </c>
      <c r="D701" s="11"/>
      <c r="E701" s="11"/>
      <c r="F701" s="24" t="s">
        <v>1064</v>
      </c>
      <c r="G701" s="38"/>
      <c r="H701" s="11"/>
      <c r="I701" s="11"/>
      <c r="J701" s="11" t="s">
        <v>1991</v>
      </c>
      <c r="K701" s="11"/>
      <c r="L701" s="11"/>
      <c r="M701" s="11"/>
      <c r="N701" s="11"/>
      <c r="O701" s="11"/>
      <c r="P701" s="11"/>
      <c r="Q701" s="11"/>
      <c r="R701" s="11"/>
      <c r="S701" s="24"/>
      <c r="T701" s="24"/>
      <c r="U701" s="24"/>
      <c r="V701" s="24"/>
    </row>
    <row r="702" spans="1:22" ht="38.25">
      <c r="A702" s="10" t="s">
        <v>782</v>
      </c>
      <c r="B702" s="11" t="str">
        <f>IFERROR(VLOOKUP(A702,Systems!A:B,2,FALSE),"Various")</f>
        <v>Various</v>
      </c>
      <c r="C702" s="11" t="s">
        <v>774</v>
      </c>
      <c r="D702" s="11"/>
      <c r="E702" s="11"/>
      <c r="F702" s="24" t="s">
        <v>1064</v>
      </c>
      <c r="G702" s="38"/>
      <c r="H702" s="11"/>
      <c r="I702" s="11"/>
      <c r="J702" s="11"/>
      <c r="K702" s="11"/>
      <c r="L702" s="11"/>
      <c r="M702" s="11"/>
      <c r="N702" s="11"/>
      <c r="O702" s="11" t="s">
        <v>775</v>
      </c>
      <c r="P702" s="11"/>
      <c r="Q702" s="11"/>
      <c r="R702" s="11"/>
      <c r="S702" s="24" t="s">
        <v>30</v>
      </c>
      <c r="T702" s="24"/>
      <c r="U702" s="24" t="str">
        <f t="shared" ref="U702:U714" si="19">IF(OR(NOT(H702=""),NOT(M702="")),"","x")</f>
        <v>x</v>
      </c>
      <c r="V702" s="24"/>
    </row>
    <row r="703" spans="1:22" ht="76.5">
      <c r="A703" s="10" t="s">
        <v>1783</v>
      </c>
      <c r="B703" s="11" t="str">
        <f>IFERROR(VLOOKUP(A703,Systems!A:B,2,FALSE),"Various")</f>
        <v>Various</v>
      </c>
      <c r="C703" s="11" t="s">
        <v>1781</v>
      </c>
      <c r="D703" s="11"/>
      <c r="E703" s="11"/>
      <c r="F703" s="24" t="s">
        <v>1064</v>
      </c>
      <c r="G703" s="38"/>
      <c r="H703" s="11"/>
      <c r="I703" s="11"/>
      <c r="J703" s="11"/>
      <c r="K703" s="11"/>
      <c r="L703" s="11"/>
      <c r="M703" s="11"/>
      <c r="N703" s="11"/>
      <c r="O703" s="11"/>
      <c r="P703" s="11"/>
      <c r="Q703" s="11" t="s">
        <v>1782</v>
      </c>
      <c r="R703" s="11"/>
      <c r="S703" s="24" t="s">
        <v>30</v>
      </c>
      <c r="T703" s="24"/>
      <c r="U703" s="24" t="str">
        <f t="shared" si="19"/>
        <v>x</v>
      </c>
      <c r="V703" s="24"/>
    </row>
    <row r="704" spans="1:22" ht="63.75">
      <c r="A704" s="10" t="s">
        <v>224</v>
      </c>
      <c r="B704" s="11" t="str">
        <f>IFERROR(VLOOKUP(A704,Systems!A:B,2,FALSE),"Various")</f>
        <v>Bilge system</v>
      </c>
      <c r="C704" s="11" t="s">
        <v>1934</v>
      </c>
      <c r="D704" s="11" t="s">
        <v>1935</v>
      </c>
      <c r="E704" s="11"/>
      <c r="F704" s="24" t="s">
        <v>1064</v>
      </c>
      <c r="G704" s="38"/>
      <c r="H704" s="11"/>
      <c r="I704" s="11"/>
      <c r="J704" s="11"/>
      <c r="K704" s="11"/>
      <c r="L704" s="11"/>
      <c r="M704" s="11"/>
      <c r="N704" s="11"/>
      <c r="O704" s="11"/>
      <c r="P704" s="11"/>
      <c r="Q704" s="11"/>
      <c r="R704" s="11"/>
      <c r="S704" s="24" t="s">
        <v>30</v>
      </c>
      <c r="T704" s="24"/>
      <c r="U704" s="24" t="str">
        <f t="shared" si="19"/>
        <v>x</v>
      </c>
      <c r="V704" s="24"/>
    </row>
    <row r="705" spans="1:22" ht="51">
      <c r="A705" s="10" t="s">
        <v>224</v>
      </c>
      <c r="B705" s="11" t="str">
        <f>IFERROR(VLOOKUP(A705,Systems!A:B,2,FALSE),"Various")</f>
        <v>Bilge system</v>
      </c>
      <c r="C705" s="11" t="s">
        <v>1934</v>
      </c>
      <c r="D705" s="11" t="s">
        <v>1936</v>
      </c>
      <c r="E705" s="11"/>
      <c r="F705" s="24" t="s">
        <v>1064</v>
      </c>
      <c r="G705" s="38"/>
      <c r="H705" s="11"/>
      <c r="I705" s="11"/>
      <c r="J705" s="11"/>
      <c r="K705" s="11"/>
      <c r="L705" s="11"/>
      <c r="M705" s="11"/>
      <c r="N705" s="11"/>
      <c r="O705" s="11"/>
      <c r="P705" s="11"/>
      <c r="Q705" s="11"/>
      <c r="R705" s="11"/>
      <c r="S705" s="24" t="s">
        <v>30</v>
      </c>
      <c r="T705" s="24"/>
      <c r="U705" s="24" t="str">
        <f t="shared" si="19"/>
        <v>x</v>
      </c>
      <c r="V705" s="24"/>
    </row>
    <row r="706" spans="1:22" ht="89.25">
      <c r="A706" s="10" t="s">
        <v>224</v>
      </c>
      <c r="B706" s="11" t="str">
        <f>IFERROR(VLOOKUP(A706,Systems!A:B,2,FALSE),"Various")</f>
        <v>Bilge system</v>
      </c>
      <c r="C706" s="11" t="s">
        <v>1934</v>
      </c>
      <c r="D706" s="11" t="s">
        <v>1937</v>
      </c>
      <c r="E706" s="11"/>
      <c r="F706" s="24" t="s">
        <v>1064</v>
      </c>
      <c r="G706" s="38"/>
      <c r="H706" s="11"/>
      <c r="I706" s="11"/>
      <c r="J706" s="11"/>
      <c r="K706" s="11"/>
      <c r="L706" s="11"/>
      <c r="M706" s="11"/>
      <c r="N706" s="11"/>
      <c r="O706" s="11"/>
      <c r="P706" s="11"/>
      <c r="Q706" s="11"/>
      <c r="R706" s="11"/>
      <c r="S706" s="24" t="s">
        <v>30</v>
      </c>
      <c r="T706" s="24"/>
      <c r="U706" s="24" t="str">
        <f t="shared" si="19"/>
        <v>x</v>
      </c>
      <c r="V706" s="24"/>
    </row>
    <row r="707" spans="1:22" ht="89.25">
      <c r="A707" s="10" t="s">
        <v>224</v>
      </c>
      <c r="B707" s="11" t="str">
        <f>IFERROR(VLOOKUP(A707,Systems!A:B,2,FALSE),"Various")</f>
        <v>Bilge system</v>
      </c>
      <c r="C707" s="11" t="s">
        <v>8</v>
      </c>
      <c r="D707" s="11"/>
      <c r="E707" s="11"/>
      <c r="F707" s="24" t="s">
        <v>1064</v>
      </c>
      <c r="G707" s="38"/>
      <c r="H707" s="11"/>
      <c r="I707" s="11"/>
      <c r="J707" s="11"/>
      <c r="K707" s="11"/>
      <c r="L707" s="11"/>
      <c r="M707" s="11" t="s">
        <v>233</v>
      </c>
      <c r="N707" s="11"/>
      <c r="O707" s="11"/>
      <c r="P707" s="11"/>
      <c r="Q707" s="11"/>
      <c r="R707" s="11"/>
      <c r="S707" s="24" t="s">
        <v>30</v>
      </c>
      <c r="T707" s="24"/>
      <c r="U707" s="24" t="str">
        <f t="shared" si="19"/>
        <v/>
      </c>
      <c r="V707" s="24"/>
    </row>
    <row r="708" spans="1:22" ht="38.25">
      <c r="A708" s="10" t="s">
        <v>224</v>
      </c>
      <c r="B708" s="11" t="str">
        <f>IFERROR(VLOOKUP(A708,Systems!A:B,2,FALSE),"Various")</f>
        <v>Bilge system</v>
      </c>
      <c r="C708" s="11" t="s">
        <v>113</v>
      </c>
      <c r="D708" s="11"/>
      <c r="E708" s="11"/>
      <c r="F708" s="24" t="s">
        <v>1064</v>
      </c>
      <c r="G708" s="38"/>
      <c r="H708" s="11"/>
      <c r="I708" s="11"/>
      <c r="J708" s="11"/>
      <c r="K708" s="11"/>
      <c r="L708" s="11"/>
      <c r="M708" s="11" t="s">
        <v>234</v>
      </c>
      <c r="N708" s="11"/>
      <c r="O708" s="11"/>
      <c r="P708" s="11"/>
      <c r="Q708" s="11"/>
      <c r="R708" s="11"/>
      <c r="S708" s="24" t="s">
        <v>30</v>
      </c>
      <c r="T708" s="24"/>
      <c r="U708" s="24" t="str">
        <f t="shared" si="19"/>
        <v/>
      </c>
      <c r="V708" s="24"/>
    </row>
    <row r="709" spans="1:22" ht="76.5">
      <c r="A709" s="10" t="s">
        <v>224</v>
      </c>
      <c r="B709" s="11" t="str">
        <f>IFERROR(VLOOKUP(A709,Systems!A:B,2,FALSE),"Various")</f>
        <v>Bilge system</v>
      </c>
      <c r="C709" s="11" t="s">
        <v>40</v>
      </c>
      <c r="D709" s="11"/>
      <c r="E709" s="11"/>
      <c r="F709" s="24" t="s">
        <v>1064</v>
      </c>
      <c r="G709" s="38"/>
      <c r="H709" s="11"/>
      <c r="I709" s="11"/>
      <c r="J709" s="11"/>
      <c r="K709" s="11"/>
      <c r="L709" s="11"/>
      <c r="M709" s="11"/>
      <c r="N709" s="11"/>
      <c r="O709" s="11" t="s">
        <v>660</v>
      </c>
      <c r="P709" s="11"/>
      <c r="Q709" s="11"/>
      <c r="R709" s="11"/>
      <c r="S709" s="24" t="s">
        <v>30</v>
      </c>
      <c r="T709" s="24"/>
      <c r="U709" s="24" t="str">
        <f t="shared" si="19"/>
        <v>x</v>
      </c>
      <c r="V709" s="24"/>
    </row>
    <row r="710" spans="1:22" ht="229.5">
      <c r="A710" s="10" t="s">
        <v>224</v>
      </c>
      <c r="B710" s="11" t="str">
        <f>IFERROR(VLOOKUP(A710,Systems!A:B,2,FALSE),"Various")</f>
        <v>Bilge system</v>
      </c>
      <c r="C710" s="11" t="s">
        <v>38</v>
      </c>
      <c r="D710" s="11"/>
      <c r="E710" s="11"/>
      <c r="F710" s="24" t="s">
        <v>1064</v>
      </c>
      <c r="G710" s="38"/>
      <c r="H710" s="11"/>
      <c r="I710" s="11"/>
      <c r="J710" s="11"/>
      <c r="K710" s="11"/>
      <c r="L710" s="11"/>
      <c r="M710" s="11"/>
      <c r="N710" s="11"/>
      <c r="O710" s="11" t="s">
        <v>664</v>
      </c>
      <c r="P710" s="11"/>
      <c r="Q710" s="11"/>
      <c r="R710" s="11"/>
      <c r="S710" s="24"/>
      <c r="T710" s="24"/>
      <c r="U710" s="24" t="str">
        <f t="shared" si="19"/>
        <v>x</v>
      </c>
      <c r="V710" s="24"/>
    </row>
    <row r="711" spans="1:22" ht="51">
      <c r="A711" s="10" t="s">
        <v>224</v>
      </c>
      <c r="B711" s="11" t="str">
        <f>IFERROR(VLOOKUP(A711,Systems!A:B,2,FALSE),"Various")</f>
        <v>Bilge system</v>
      </c>
      <c r="C711" s="11" t="s">
        <v>37</v>
      </c>
      <c r="D711" s="11"/>
      <c r="E711" s="11"/>
      <c r="F711" s="24" t="s">
        <v>1064</v>
      </c>
      <c r="G711" s="38"/>
      <c r="H711" s="11"/>
      <c r="I711" s="11"/>
      <c r="J711" s="11"/>
      <c r="K711" s="11"/>
      <c r="L711" s="11"/>
      <c r="M711" s="11"/>
      <c r="N711" s="11"/>
      <c r="O711" s="11" t="s">
        <v>668</v>
      </c>
      <c r="P711" s="11"/>
      <c r="Q711" s="11"/>
      <c r="R711" s="11"/>
      <c r="S711" s="24" t="s">
        <v>30</v>
      </c>
      <c r="T711" s="24"/>
      <c r="U711" s="24" t="str">
        <f t="shared" si="19"/>
        <v>x</v>
      </c>
      <c r="V711" s="24"/>
    </row>
    <row r="712" spans="1:22" ht="38.25">
      <c r="A712" s="10" t="s">
        <v>224</v>
      </c>
      <c r="B712" s="11" t="str">
        <f>IFERROR(VLOOKUP(A712,Systems!A:B,2,FALSE),"Various")</f>
        <v>Bilge system</v>
      </c>
      <c r="C712" s="11" t="s">
        <v>1096</v>
      </c>
      <c r="D712" s="11"/>
      <c r="E712" s="11"/>
      <c r="F712" s="24" t="s">
        <v>1064</v>
      </c>
      <c r="G712" s="38"/>
      <c r="H712" s="11"/>
      <c r="I712" s="11"/>
      <c r="J712" s="11"/>
      <c r="K712" s="11"/>
      <c r="L712" s="11"/>
      <c r="M712" s="11" t="s">
        <v>235</v>
      </c>
      <c r="N712" s="11"/>
      <c r="O712" s="11"/>
      <c r="P712" s="11"/>
      <c r="Q712" s="11"/>
      <c r="R712" s="11"/>
      <c r="S712" s="24" t="s">
        <v>30</v>
      </c>
      <c r="T712" s="24"/>
      <c r="U712" s="24" t="str">
        <f t="shared" si="19"/>
        <v/>
      </c>
      <c r="V712" s="24"/>
    </row>
    <row r="713" spans="1:22" ht="38.25">
      <c r="A713" s="10" t="s">
        <v>224</v>
      </c>
      <c r="B713" s="11" t="str">
        <f>IFERROR(VLOOKUP(A713,Systems!A:B,2,FALSE),"Various")</f>
        <v>Bilge system</v>
      </c>
      <c r="C713" s="11" t="s">
        <v>240</v>
      </c>
      <c r="D713" s="11"/>
      <c r="E713" s="11"/>
      <c r="F713" s="24" t="s">
        <v>1064</v>
      </c>
      <c r="G713" s="38"/>
      <c r="H713" s="11"/>
      <c r="I713" s="11"/>
      <c r="J713" s="11"/>
      <c r="K713" s="11"/>
      <c r="L713" s="11"/>
      <c r="M713" s="11"/>
      <c r="N713" s="11"/>
      <c r="O713" s="11" t="s">
        <v>685</v>
      </c>
      <c r="P713" s="11"/>
      <c r="Q713" s="11"/>
      <c r="R713" s="11"/>
      <c r="S713" s="24" t="s">
        <v>30</v>
      </c>
      <c r="T713" s="24"/>
      <c r="U713" s="24" t="str">
        <f t="shared" si="19"/>
        <v>x</v>
      </c>
      <c r="V713" s="24"/>
    </row>
    <row r="714" spans="1:22" ht="38.25">
      <c r="A714" s="10" t="s">
        <v>224</v>
      </c>
      <c r="B714" s="11" t="str">
        <f>IFERROR(VLOOKUP(A714,Systems!A:B,2,FALSE),"Various")</f>
        <v>Bilge system</v>
      </c>
      <c r="C714" s="11" t="s">
        <v>240</v>
      </c>
      <c r="D714" s="11"/>
      <c r="E714" s="11"/>
      <c r="F714" s="24" t="s">
        <v>1064</v>
      </c>
      <c r="G714" s="38"/>
      <c r="H714" s="11"/>
      <c r="I714" s="11"/>
      <c r="J714" s="11"/>
      <c r="K714" s="11"/>
      <c r="L714" s="11"/>
      <c r="M714" s="11"/>
      <c r="N714" s="11"/>
      <c r="O714" s="11" t="s">
        <v>686</v>
      </c>
      <c r="P714" s="11"/>
      <c r="Q714" s="11"/>
      <c r="R714" s="11"/>
      <c r="S714" s="24"/>
      <c r="T714" s="24" t="s">
        <v>30</v>
      </c>
      <c r="U714" s="24" t="str">
        <f t="shared" si="19"/>
        <v>x</v>
      </c>
      <c r="V714" s="24"/>
    </row>
    <row r="715" spans="1:22" ht="38.25">
      <c r="A715" s="10" t="s">
        <v>224</v>
      </c>
      <c r="B715" s="11" t="str">
        <f>IFERROR(VLOOKUP(A715,Systems!A:B,2,FALSE),"Various")</f>
        <v>Bilge system</v>
      </c>
      <c r="C715" s="11" t="s">
        <v>38</v>
      </c>
      <c r="D715" s="11"/>
      <c r="E715" s="11"/>
      <c r="F715" s="24" t="s">
        <v>1064</v>
      </c>
      <c r="G715" s="38"/>
      <c r="H715" s="11"/>
      <c r="I715" s="11"/>
      <c r="J715" s="11"/>
      <c r="K715" s="11"/>
      <c r="L715" s="11"/>
      <c r="M715" s="11"/>
      <c r="N715" s="11"/>
      <c r="O715" s="11" t="s">
        <v>665</v>
      </c>
      <c r="P715" s="11"/>
      <c r="Q715" s="11"/>
      <c r="R715" s="11"/>
      <c r="S715" s="24" t="s">
        <v>30</v>
      </c>
      <c r="T715" s="24"/>
      <c r="U715" s="24"/>
      <c r="V715" s="24"/>
    </row>
    <row r="716" spans="1:22" ht="38.25">
      <c r="A716" s="10" t="s">
        <v>224</v>
      </c>
      <c r="B716" s="11" t="str">
        <f>IFERROR(VLOOKUP(A716,Systems!A:B,2,FALSE),"Various")</f>
        <v>Bilge system</v>
      </c>
      <c r="C716" s="11" t="s">
        <v>613</v>
      </c>
      <c r="D716" s="11"/>
      <c r="E716" s="11"/>
      <c r="F716" s="24" t="s">
        <v>1064</v>
      </c>
      <c r="G716" s="38"/>
      <c r="H716" s="11"/>
      <c r="I716" s="11"/>
      <c r="J716" s="11"/>
      <c r="K716" s="11"/>
      <c r="L716" s="11"/>
      <c r="M716" s="11"/>
      <c r="N716" s="11"/>
      <c r="O716" s="11" t="s">
        <v>671</v>
      </c>
      <c r="P716" s="11"/>
      <c r="Q716" s="11"/>
      <c r="R716" s="11"/>
      <c r="S716" s="24" t="s">
        <v>30</v>
      </c>
      <c r="T716" s="24"/>
      <c r="U716" s="24"/>
      <c r="V716" s="24"/>
    </row>
    <row r="717" spans="1:22" ht="38.25">
      <c r="A717" s="10" t="s">
        <v>224</v>
      </c>
      <c r="B717" s="11" t="str">
        <f>IFERROR(VLOOKUP(A717,Systems!A:B,2,FALSE),"Various")</f>
        <v>Bilge system</v>
      </c>
      <c r="C717" s="11" t="s">
        <v>614</v>
      </c>
      <c r="D717" s="11"/>
      <c r="E717" s="11"/>
      <c r="F717" s="24" t="s">
        <v>1064</v>
      </c>
      <c r="G717" s="38"/>
      <c r="H717" s="11"/>
      <c r="I717" s="11"/>
      <c r="J717" s="11"/>
      <c r="K717" s="11"/>
      <c r="L717" s="11"/>
      <c r="M717" s="11"/>
      <c r="N717" s="11"/>
      <c r="O717" s="11" t="s">
        <v>672</v>
      </c>
      <c r="P717" s="11"/>
      <c r="Q717" s="11"/>
      <c r="R717" s="11"/>
      <c r="S717" s="24" t="s">
        <v>1305</v>
      </c>
      <c r="T717" s="24"/>
      <c r="U717" s="24"/>
      <c r="V717" s="24"/>
    </row>
    <row r="718" spans="1:22" ht="38.25">
      <c r="A718" s="10" t="s">
        <v>224</v>
      </c>
      <c r="B718" s="11" t="str">
        <f>IFERROR(VLOOKUP(A718,Systems!A:B,2,FALSE),"Various")</f>
        <v>Bilge system</v>
      </c>
      <c r="C718" s="11" t="s">
        <v>615</v>
      </c>
      <c r="D718" s="11"/>
      <c r="E718" s="11"/>
      <c r="F718" s="24" t="s">
        <v>1064</v>
      </c>
      <c r="G718" s="38"/>
      <c r="H718" s="11"/>
      <c r="I718" s="11"/>
      <c r="J718" s="11"/>
      <c r="K718" s="11"/>
      <c r="L718" s="11"/>
      <c r="M718" s="11"/>
      <c r="N718" s="11"/>
      <c r="O718" s="11" t="s">
        <v>673</v>
      </c>
      <c r="P718" s="11"/>
      <c r="Q718" s="11"/>
      <c r="R718" s="11"/>
      <c r="S718" s="24" t="s">
        <v>30</v>
      </c>
      <c r="T718" s="24"/>
      <c r="U718" s="24" t="str">
        <f>IF(OR(NOT(H718=""),NOT(M718="")),"","x")</f>
        <v>x</v>
      </c>
      <c r="V718" s="24"/>
    </row>
    <row r="719" spans="1:22" ht="38.25">
      <c r="A719" s="10" t="s">
        <v>224</v>
      </c>
      <c r="B719" s="11" t="str">
        <f>IFERROR(VLOOKUP(A719,Systems!A:B,2,FALSE),"Various")</f>
        <v>Bilge system</v>
      </c>
      <c r="C719" s="11" t="s">
        <v>473</v>
      </c>
      <c r="D719" s="11"/>
      <c r="E719" s="11"/>
      <c r="F719" s="24" t="s">
        <v>1064</v>
      </c>
      <c r="G719" s="38"/>
      <c r="H719" s="11"/>
      <c r="I719" s="11"/>
      <c r="J719" s="11"/>
      <c r="K719" s="11"/>
      <c r="L719" s="11"/>
      <c r="M719" s="11"/>
      <c r="N719" s="11"/>
      <c r="O719" s="11" t="s">
        <v>674</v>
      </c>
      <c r="P719" s="11"/>
      <c r="Q719" s="11"/>
      <c r="R719" s="11"/>
      <c r="S719" s="24" t="s">
        <v>30</v>
      </c>
      <c r="T719" s="24"/>
      <c r="U719" s="24"/>
      <c r="V719" s="24"/>
    </row>
    <row r="720" spans="1:22" ht="38.25">
      <c r="A720" s="10" t="s">
        <v>224</v>
      </c>
      <c r="B720" s="11" t="str">
        <f>IFERROR(VLOOKUP(A720,Systems!A:B,2,FALSE),"Various")</f>
        <v>Bilge system</v>
      </c>
      <c r="C720" s="11" t="s">
        <v>616</v>
      </c>
      <c r="D720" s="11"/>
      <c r="E720" s="11"/>
      <c r="F720" s="24" t="s">
        <v>1064</v>
      </c>
      <c r="G720" s="38"/>
      <c r="H720" s="11"/>
      <c r="I720" s="11"/>
      <c r="J720" s="11"/>
      <c r="K720" s="11"/>
      <c r="L720" s="11"/>
      <c r="M720" s="11"/>
      <c r="N720" s="11"/>
      <c r="O720" s="11" t="s">
        <v>675</v>
      </c>
      <c r="P720" s="11"/>
      <c r="Q720" s="11"/>
      <c r="R720" s="11"/>
      <c r="S720" s="24" t="s">
        <v>30</v>
      </c>
      <c r="T720" s="24"/>
      <c r="U720" s="24" t="str">
        <f>IF(OR(NOT(H720=""),NOT(M720="")),"","x")</f>
        <v>x</v>
      </c>
      <c r="V720" s="24"/>
    </row>
    <row r="721" spans="1:22" ht="38.25">
      <c r="A721" s="10" t="s">
        <v>224</v>
      </c>
      <c r="B721" s="11" t="str">
        <f>IFERROR(VLOOKUP(A721,Systems!A:B,2,FALSE),"Various")</f>
        <v>Bilge system</v>
      </c>
      <c r="C721" s="11" t="s">
        <v>618</v>
      </c>
      <c r="D721" s="11"/>
      <c r="E721" s="11"/>
      <c r="F721" s="24" t="s">
        <v>1064</v>
      </c>
      <c r="G721" s="38"/>
      <c r="H721" s="11"/>
      <c r="I721" s="11"/>
      <c r="J721" s="11"/>
      <c r="K721" s="11"/>
      <c r="L721" s="11"/>
      <c r="M721" s="11"/>
      <c r="N721" s="11"/>
      <c r="O721" s="11" t="s">
        <v>677</v>
      </c>
      <c r="P721" s="11"/>
      <c r="Q721" s="11"/>
      <c r="R721" s="11"/>
      <c r="S721" s="24" t="s">
        <v>30</v>
      </c>
      <c r="T721" s="24"/>
      <c r="U721" s="24" t="str">
        <f>IF(OR(NOT(H721=""),NOT(M721="")),"","x")</f>
        <v>x</v>
      </c>
      <c r="V721" s="24"/>
    </row>
    <row r="722" spans="1:22" ht="191.25">
      <c r="A722" s="10" t="s">
        <v>224</v>
      </c>
      <c r="B722" s="11" t="str">
        <f>IFERROR(VLOOKUP(A722,Systems!A:B,2,FALSE),"Various")</f>
        <v>Bilge system</v>
      </c>
      <c r="C722" s="11" t="s">
        <v>40</v>
      </c>
      <c r="D722" s="11"/>
      <c r="E722" s="11"/>
      <c r="F722" s="24" t="s">
        <v>1064</v>
      </c>
      <c r="G722" s="38"/>
      <c r="H722" s="11"/>
      <c r="I722" s="11"/>
      <c r="J722" s="11"/>
      <c r="K722" s="11"/>
      <c r="L722" s="11"/>
      <c r="M722" s="11"/>
      <c r="N722" s="11"/>
      <c r="O722" s="11" t="s">
        <v>875</v>
      </c>
      <c r="P722" s="11"/>
      <c r="Q722" s="11"/>
      <c r="R722" s="11"/>
      <c r="S722" s="24" t="s">
        <v>30</v>
      </c>
      <c r="T722" s="24"/>
      <c r="U722" s="24" t="str">
        <f>IF(OR(NOT(H722=""),NOT(M722="")),"","x")</f>
        <v>x</v>
      </c>
      <c r="V722" s="24"/>
    </row>
    <row r="723" spans="1:22" ht="178.5">
      <c r="A723" s="10" t="s">
        <v>224</v>
      </c>
      <c r="B723" s="11" t="str">
        <f>IFERROR(VLOOKUP(A723,Systems!A:B,2,FALSE),"Various")</f>
        <v>Bilge system</v>
      </c>
      <c r="C723" s="11" t="s">
        <v>40</v>
      </c>
      <c r="D723" s="11"/>
      <c r="E723" s="11"/>
      <c r="F723" s="24" t="s">
        <v>1064</v>
      </c>
      <c r="G723" s="38"/>
      <c r="H723" s="11"/>
      <c r="I723" s="11"/>
      <c r="J723" s="11"/>
      <c r="K723" s="11"/>
      <c r="L723" s="11"/>
      <c r="M723" s="11"/>
      <c r="N723" s="11"/>
      <c r="O723" s="11" t="s">
        <v>662</v>
      </c>
      <c r="P723" s="11"/>
      <c r="Q723" s="11"/>
      <c r="R723" s="11"/>
      <c r="S723" s="24" t="s">
        <v>30</v>
      </c>
      <c r="T723" s="24"/>
      <c r="U723" s="24" t="str">
        <f>IF(OR(NOT(H723=""),NOT(M723="")),"","x")</f>
        <v>x</v>
      </c>
      <c r="V723" s="24"/>
    </row>
    <row r="724" spans="1:22" ht="280.5">
      <c r="A724" s="10" t="s">
        <v>224</v>
      </c>
      <c r="B724" s="11" t="str">
        <f>IFERROR(VLOOKUP(A724,Systems!A:B,2,FALSE),"Various")</f>
        <v>Bilge system</v>
      </c>
      <c r="C724" s="11" t="s">
        <v>40</v>
      </c>
      <c r="D724" s="11"/>
      <c r="E724" s="11"/>
      <c r="F724" s="24" t="s">
        <v>1064</v>
      </c>
      <c r="G724" s="38"/>
      <c r="H724" s="11"/>
      <c r="I724" s="11"/>
      <c r="J724" s="11"/>
      <c r="K724" s="11"/>
      <c r="L724" s="11"/>
      <c r="M724" s="11"/>
      <c r="N724" s="11"/>
      <c r="O724" s="11" t="s">
        <v>661</v>
      </c>
      <c r="P724" s="11"/>
      <c r="Q724" s="11"/>
      <c r="R724" s="11"/>
      <c r="S724" s="24" t="s">
        <v>30</v>
      </c>
      <c r="T724" s="24"/>
      <c r="U724" s="24"/>
      <c r="V724" s="24"/>
    </row>
    <row r="725" spans="1:22" ht="153">
      <c r="A725" s="10" t="s">
        <v>224</v>
      </c>
      <c r="B725" s="11" t="str">
        <f>IFERROR(VLOOKUP(A725,Systems!A:B,2,FALSE),"Various")</f>
        <v>Bilge system</v>
      </c>
      <c r="C725" s="11" t="s">
        <v>225</v>
      </c>
      <c r="D725" s="11"/>
      <c r="E725" s="11"/>
      <c r="F725" s="24" t="s">
        <v>1064</v>
      </c>
      <c r="G725" s="38"/>
      <c r="H725" s="11"/>
      <c r="I725" s="11"/>
      <c r="J725" s="11"/>
      <c r="K725" s="11"/>
      <c r="L725" s="11"/>
      <c r="M725" s="11"/>
      <c r="N725" s="11"/>
      <c r="O725" s="11" t="s">
        <v>679</v>
      </c>
      <c r="P725" s="11"/>
      <c r="Q725" s="11"/>
      <c r="R725" s="11"/>
      <c r="S725" s="24" t="s">
        <v>30</v>
      </c>
      <c r="T725" s="24"/>
      <c r="U725" s="24"/>
      <c r="V725" s="24"/>
    </row>
    <row r="726" spans="1:22" ht="25.5">
      <c r="A726" s="10" t="s">
        <v>224</v>
      </c>
      <c r="B726" s="11" t="str">
        <f>IFERROR(VLOOKUP(A726,Systems!A:B,2,FALSE),"Various")</f>
        <v>Bilge system</v>
      </c>
      <c r="C726" s="11" t="s">
        <v>621</v>
      </c>
      <c r="D726" s="11"/>
      <c r="E726" s="11"/>
      <c r="F726" s="24" t="s">
        <v>1064</v>
      </c>
      <c r="G726" s="38"/>
      <c r="H726" s="11"/>
      <c r="I726" s="11"/>
      <c r="J726" s="11"/>
      <c r="K726" s="11"/>
      <c r="L726" s="11"/>
      <c r="M726" s="11"/>
      <c r="N726" s="11"/>
      <c r="O726" s="11" t="s">
        <v>680</v>
      </c>
      <c r="P726" s="11"/>
      <c r="Q726" s="11"/>
      <c r="R726" s="11"/>
      <c r="S726" s="24" t="s">
        <v>30</v>
      </c>
      <c r="T726" s="24"/>
      <c r="U726" s="24"/>
      <c r="V726" s="24"/>
    </row>
    <row r="727" spans="1:22" ht="38.25">
      <c r="A727" s="10" t="s">
        <v>224</v>
      </c>
      <c r="B727" s="11" t="str">
        <f>IFERROR(VLOOKUP(A727,Systems!A:B,2,FALSE),"Various")</f>
        <v>Bilge system</v>
      </c>
      <c r="C727" s="11" t="s">
        <v>238</v>
      </c>
      <c r="D727" s="11"/>
      <c r="E727" s="11"/>
      <c r="F727" s="24" t="s">
        <v>1064</v>
      </c>
      <c r="G727" s="38"/>
      <c r="H727" s="11"/>
      <c r="I727" s="11"/>
      <c r="J727" s="11"/>
      <c r="K727" s="11"/>
      <c r="L727" s="11"/>
      <c r="M727" s="11"/>
      <c r="N727" s="11"/>
      <c r="O727" s="11" t="s">
        <v>681</v>
      </c>
      <c r="P727" s="11"/>
      <c r="Q727" s="11"/>
      <c r="R727" s="11"/>
      <c r="S727" s="24" t="s">
        <v>30</v>
      </c>
      <c r="T727" s="24"/>
      <c r="U727" s="24"/>
      <c r="V727" s="24"/>
    </row>
    <row r="728" spans="1:22" ht="293.25">
      <c r="A728" s="10" t="s">
        <v>180</v>
      </c>
      <c r="B728" s="11" t="str">
        <f>IFERROR(VLOOKUP(A728,Systems!A:B,2,FALSE),"Various")</f>
        <v>Dirty-oil system</v>
      </c>
      <c r="C728" s="11" t="s">
        <v>1239</v>
      </c>
      <c r="D728" s="11"/>
      <c r="E728" s="11"/>
      <c r="F728" s="24" t="s">
        <v>1064</v>
      </c>
      <c r="G728" s="38"/>
      <c r="H728" s="11"/>
      <c r="I728" s="11"/>
      <c r="J728" s="11"/>
      <c r="K728" s="11" t="s">
        <v>1959</v>
      </c>
      <c r="L728" s="11"/>
      <c r="M728" s="11"/>
      <c r="N728" s="11"/>
      <c r="O728" s="11"/>
      <c r="P728" s="11"/>
      <c r="Q728" s="11"/>
      <c r="R728" s="11"/>
      <c r="S728" s="24" t="s">
        <v>30</v>
      </c>
      <c r="T728" s="24"/>
      <c r="U728" s="24"/>
      <c r="V728" s="24"/>
    </row>
    <row r="729" spans="1:22" ht="38.25">
      <c r="A729" s="10" t="s">
        <v>224</v>
      </c>
      <c r="B729" s="11" t="str">
        <f>IFERROR(VLOOKUP(A729,Systems!A:B,2,FALSE),"Various")</f>
        <v>Bilge system</v>
      </c>
      <c r="C729" s="11" t="s">
        <v>239</v>
      </c>
      <c r="D729" s="11"/>
      <c r="E729" s="11"/>
      <c r="F729" s="24" t="s">
        <v>1064</v>
      </c>
      <c r="G729" s="38"/>
      <c r="H729" s="11"/>
      <c r="I729" s="11"/>
      <c r="J729" s="11"/>
      <c r="K729" s="11"/>
      <c r="L729" s="11"/>
      <c r="M729" s="11"/>
      <c r="N729" s="11"/>
      <c r="O729" s="11" t="s">
        <v>682</v>
      </c>
      <c r="P729" s="11"/>
      <c r="Q729" s="11"/>
      <c r="R729" s="11"/>
      <c r="S729" s="24" t="s">
        <v>30</v>
      </c>
      <c r="T729" s="24"/>
      <c r="U729" s="24"/>
      <c r="V729" s="24"/>
    </row>
    <row r="730" spans="1:22" ht="51">
      <c r="A730" s="10" t="s">
        <v>224</v>
      </c>
      <c r="B730" s="11" t="str">
        <f>IFERROR(VLOOKUP(A730,Systems!A:B,2,FALSE),"Various")</f>
        <v>Bilge system</v>
      </c>
      <c r="C730" s="11" t="s">
        <v>239</v>
      </c>
      <c r="D730" s="11"/>
      <c r="E730" s="11"/>
      <c r="F730" s="24" t="s">
        <v>1064</v>
      </c>
      <c r="G730" s="38"/>
      <c r="H730" s="11"/>
      <c r="I730" s="11"/>
      <c r="J730" s="11"/>
      <c r="K730" s="11"/>
      <c r="L730" s="11"/>
      <c r="M730" s="11"/>
      <c r="N730" s="11"/>
      <c r="O730" s="11" t="s">
        <v>683</v>
      </c>
      <c r="P730" s="11"/>
      <c r="Q730" s="11"/>
      <c r="R730" s="11"/>
      <c r="S730" s="24" t="s">
        <v>30</v>
      </c>
      <c r="T730" s="24"/>
      <c r="U730" s="24"/>
      <c r="V730" s="24"/>
    </row>
    <row r="731" spans="1:22" ht="38.25">
      <c r="A731" s="10" t="s">
        <v>224</v>
      </c>
      <c r="B731" s="11" t="str">
        <f>IFERROR(VLOOKUP(A731,Systems!A:B,2,FALSE),"Various")</f>
        <v>Bilge system</v>
      </c>
      <c r="C731" s="11" t="s">
        <v>239</v>
      </c>
      <c r="D731" s="11"/>
      <c r="E731" s="11"/>
      <c r="F731" s="24" t="s">
        <v>1064</v>
      </c>
      <c r="G731" s="38"/>
      <c r="H731" s="11"/>
      <c r="I731" s="11"/>
      <c r="J731" s="11"/>
      <c r="K731" s="11"/>
      <c r="L731" s="11"/>
      <c r="M731" s="11"/>
      <c r="N731" s="11"/>
      <c r="O731" s="11" t="s">
        <v>684</v>
      </c>
      <c r="P731" s="11"/>
      <c r="Q731" s="11"/>
      <c r="R731" s="11"/>
      <c r="S731" s="24" t="s">
        <v>30</v>
      </c>
      <c r="T731" s="24"/>
      <c r="U731" s="24"/>
      <c r="V731" s="24"/>
    </row>
    <row r="732" spans="1:22" ht="25.5">
      <c r="A732" s="10" t="s">
        <v>224</v>
      </c>
      <c r="B732" s="11" t="str">
        <f>IFERROR(VLOOKUP(A732,Systems!A:B,2,FALSE),"Various")</f>
        <v>Bilge system</v>
      </c>
      <c r="C732" s="11" t="s">
        <v>240</v>
      </c>
      <c r="D732" s="11"/>
      <c r="E732" s="11"/>
      <c r="F732" s="24" t="s">
        <v>1064</v>
      </c>
      <c r="G732" s="38"/>
      <c r="H732" s="11"/>
      <c r="I732" s="11"/>
      <c r="J732" s="11"/>
      <c r="K732" s="11"/>
      <c r="L732" s="11"/>
      <c r="M732" s="11"/>
      <c r="N732" s="11"/>
      <c r="O732" s="11" t="s">
        <v>687</v>
      </c>
      <c r="P732" s="11"/>
      <c r="Q732" s="11"/>
      <c r="R732" s="11"/>
      <c r="S732" s="24" t="s">
        <v>30</v>
      </c>
      <c r="T732" s="24"/>
      <c r="U732" s="24"/>
      <c r="V732" s="24"/>
    </row>
    <row r="733" spans="1:22" ht="51">
      <c r="A733" s="10" t="s">
        <v>224</v>
      </c>
      <c r="B733" s="11" t="str">
        <f>IFERROR(VLOOKUP(A733,Systems!A:B,2,FALSE),"Various")</f>
        <v>Bilge system</v>
      </c>
      <c r="C733" s="11" t="s">
        <v>240</v>
      </c>
      <c r="D733" s="11"/>
      <c r="E733" s="11"/>
      <c r="F733" s="24" t="s">
        <v>1064</v>
      </c>
      <c r="G733" s="38"/>
      <c r="H733" s="11"/>
      <c r="I733" s="11"/>
      <c r="J733" s="11"/>
      <c r="K733" s="11"/>
      <c r="L733" s="11"/>
      <c r="M733" s="11"/>
      <c r="N733" s="11"/>
      <c r="O733" s="11" t="s">
        <v>688</v>
      </c>
      <c r="P733" s="11"/>
      <c r="Q733" s="11"/>
      <c r="R733" s="11"/>
      <c r="S733" s="24" t="s">
        <v>30</v>
      </c>
      <c r="T733" s="24"/>
      <c r="U733" s="24"/>
      <c r="V733" s="24"/>
    </row>
    <row r="734" spans="1:22" ht="51">
      <c r="A734" s="10" t="s">
        <v>224</v>
      </c>
      <c r="B734" s="11" t="str">
        <f>IFERROR(VLOOKUP(A734,Systems!A:B,2,FALSE),"Various")</f>
        <v>Bilge system</v>
      </c>
      <c r="C734" s="11" t="s">
        <v>240</v>
      </c>
      <c r="D734" s="11"/>
      <c r="E734" s="11"/>
      <c r="F734" s="24" t="s">
        <v>1064</v>
      </c>
      <c r="G734" s="38"/>
      <c r="H734" s="11"/>
      <c r="I734" s="11"/>
      <c r="J734" s="11"/>
      <c r="K734" s="11"/>
      <c r="L734" s="11"/>
      <c r="M734" s="11"/>
      <c r="N734" s="11"/>
      <c r="O734" s="11" t="s">
        <v>689</v>
      </c>
      <c r="P734" s="11"/>
      <c r="Q734" s="11"/>
      <c r="R734" s="11"/>
      <c r="S734" s="24" t="s">
        <v>30</v>
      </c>
      <c r="T734" s="24"/>
      <c r="U734" s="24"/>
      <c r="V734" s="24"/>
    </row>
    <row r="735" spans="1:22" ht="51">
      <c r="A735" s="10" t="s">
        <v>242</v>
      </c>
      <c r="B735" s="11" t="str">
        <f>IFERROR(VLOOKUP(A735,Systems!A:B,2,FALSE),"Various")</f>
        <v>Sounding and de-aeration</v>
      </c>
      <c r="C735" s="11" t="s">
        <v>1914</v>
      </c>
      <c r="D735" s="11" t="s">
        <v>1890</v>
      </c>
      <c r="E735" s="11"/>
      <c r="F735" s="24" t="s">
        <v>1064</v>
      </c>
      <c r="G735" s="38"/>
      <c r="H735" s="11"/>
      <c r="I735" s="11"/>
      <c r="J735" s="11"/>
      <c r="K735" s="11"/>
      <c r="L735" s="11"/>
      <c r="M735" s="11"/>
      <c r="N735" s="11"/>
      <c r="O735" s="11"/>
      <c r="P735" s="11"/>
      <c r="Q735" s="11"/>
      <c r="R735" s="11"/>
      <c r="S735" s="24" t="s">
        <v>30</v>
      </c>
      <c r="T735" s="24"/>
      <c r="U735" s="24"/>
      <c r="V735" s="24"/>
    </row>
    <row r="736" spans="1:22" ht="306">
      <c r="A736" s="10" t="s">
        <v>148</v>
      </c>
      <c r="B736" s="11" t="str">
        <f>IFERROR(VLOOKUP(A736,Systems!A:B,2,FALSE),"Various")</f>
        <v>Project data</v>
      </c>
      <c r="C736" s="11" t="s">
        <v>52</v>
      </c>
      <c r="D736" s="11"/>
      <c r="E736" s="11"/>
      <c r="F736" s="24" t="s">
        <v>1064</v>
      </c>
      <c r="G736" s="38"/>
      <c r="H736" s="11"/>
      <c r="I736" s="11"/>
      <c r="J736" s="11"/>
      <c r="K736" s="11"/>
      <c r="L736" s="11"/>
      <c r="M736" s="11"/>
      <c r="N736" s="11"/>
      <c r="O736" s="11"/>
      <c r="P736" s="11" t="s">
        <v>287</v>
      </c>
      <c r="Q736" s="11"/>
      <c r="R736" s="11"/>
      <c r="S736" s="24" t="s">
        <v>30</v>
      </c>
      <c r="T736" s="24"/>
      <c r="U736" s="24"/>
      <c r="V736" s="24"/>
    </row>
    <row r="737" spans="1:22" ht="38.25">
      <c r="A737" s="10" t="s">
        <v>148</v>
      </c>
      <c r="B737" s="11" t="str">
        <f>IFERROR(VLOOKUP(A737,Systems!A:B,2,FALSE),"Various")</f>
        <v>Project data</v>
      </c>
      <c r="C737" s="11" t="s">
        <v>147</v>
      </c>
      <c r="D737" s="11"/>
      <c r="E737" s="11"/>
      <c r="F737" s="24" t="s">
        <v>1064</v>
      </c>
      <c r="G737" s="38"/>
      <c r="H737" s="11"/>
      <c r="I737" s="11"/>
      <c r="J737" s="11"/>
      <c r="K737" s="11"/>
      <c r="L737" s="11"/>
      <c r="M737" s="11" t="s">
        <v>488</v>
      </c>
      <c r="N737" s="11"/>
      <c r="O737" s="11"/>
      <c r="P737" s="11"/>
      <c r="Q737" s="11"/>
      <c r="R737" s="11"/>
      <c r="S737" s="24" t="s">
        <v>30</v>
      </c>
      <c r="T737" s="24"/>
      <c r="U737" s="24"/>
      <c r="V737" s="24"/>
    </row>
    <row r="738" spans="1:22" ht="63.75">
      <c r="A738" s="10" t="s">
        <v>148</v>
      </c>
      <c r="B738" s="11" t="str">
        <f>IFERROR(VLOOKUP(A738,Systems!A:B,2,FALSE),"Various")</f>
        <v>Project data</v>
      </c>
      <c r="C738" s="11" t="s">
        <v>185</v>
      </c>
      <c r="D738" s="11"/>
      <c r="E738" s="11"/>
      <c r="F738" s="24" t="s">
        <v>1064</v>
      </c>
      <c r="G738" s="38"/>
      <c r="H738" s="11"/>
      <c r="I738" s="11"/>
      <c r="J738" s="11"/>
      <c r="K738" s="11"/>
      <c r="L738" s="11"/>
      <c r="M738" s="11" t="s">
        <v>489</v>
      </c>
      <c r="N738" s="11"/>
      <c r="O738" s="11"/>
      <c r="P738" s="11"/>
      <c r="Q738" s="11"/>
      <c r="R738" s="11"/>
      <c r="S738" s="24" t="s">
        <v>30</v>
      </c>
      <c r="T738" s="24"/>
      <c r="U738" s="24"/>
      <c r="V738" s="24"/>
    </row>
    <row r="739" spans="1:22" ht="51">
      <c r="A739" s="10" t="s">
        <v>157</v>
      </c>
      <c r="B739" s="11" t="str">
        <f>IFERROR(VLOOKUP(A739,Systems!A:B,2,FALSE),"Various")</f>
        <v>Tank arrangement</v>
      </c>
      <c r="C739" s="11" t="s">
        <v>497</v>
      </c>
      <c r="D739" s="11"/>
      <c r="E739" s="11"/>
      <c r="F739" s="24" t="s">
        <v>1064</v>
      </c>
      <c r="G739" s="38"/>
      <c r="H739" s="11"/>
      <c r="I739" s="11"/>
      <c r="J739" s="11"/>
      <c r="K739" s="11"/>
      <c r="L739" s="11"/>
      <c r="M739" s="11"/>
      <c r="N739" s="11"/>
      <c r="O739" s="11"/>
      <c r="P739" s="11" t="s">
        <v>519</v>
      </c>
      <c r="Q739" s="11"/>
      <c r="R739" s="11"/>
      <c r="S739" s="24" t="s">
        <v>30</v>
      </c>
      <c r="T739" s="24"/>
      <c r="U739" s="24"/>
      <c r="V739" s="24"/>
    </row>
    <row r="740" spans="1:22" ht="63.75">
      <c r="A740" s="10" t="s">
        <v>157</v>
      </c>
      <c r="B740" s="11" t="str">
        <f>IFERROR(VLOOKUP(A740,Systems!A:B,2,FALSE),"Various")</f>
        <v>Tank arrangement</v>
      </c>
      <c r="C740" s="11" t="s">
        <v>502</v>
      </c>
      <c r="D740" s="11"/>
      <c r="E740" s="11"/>
      <c r="F740" s="24" t="s">
        <v>1064</v>
      </c>
      <c r="G740" s="38"/>
      <c r="H740" s="11"/>
      <c r="I740" s="11"/>
      <c r="J740" s="11"/>
      <c r="K740" s="11"/>
      <c r="L740" s="11"/>
      <c r="M740" s="11" t="s">
        <v>501</v>
      </c>
      <c r="N740" s="11"/>
      <c r="O740" s="11"/>
      <c r="P740" s="11"/>
      <c r="Q740" s="11"/>
      <c r="R740" s="11"/>
      <c r="S740" s="24" t="s">
        <v>30</v>
      </c>
      <c r="T740" s="24"/>
      <c r="U740" s="24"/>
      <c r="V740" s="24"/>
    </row>
    <row r="741" spans="1:22" ht="38.25">
      <c r="A741" s="10" t="s">
        <v>538</v>
      </c>
      <c r="B741" s="11" t="str">
        <f>IFERROR(VLOOKUP(A741,Systems!A:B,2,FALSE),"Various")</f>
        <v>Various</v>
      </c>
      <c r="C741" s="11" t="s">
        <v>536</v>
      </c>
      <c r="D741" s="11"/>
      <c r="E741" s="11"/>
      <c r="F741" s="24" t="s">
        <v>1064</v>
      </c>
      <c r="G741" s="38"/>
      <c r="H741" s="11"/>
      <c r="I741" s="11"/>
      <c r="J741" s="11"/>
      <c r="K741" s="11"/>
      <c r="L741" s="11"/>
      <c r="M741" s="11"/>
      <c r="N741" s="11"/>
      <c r="O741" s="11"/>
      <c r="P741" s="11" t="s">
        <v>539</v>
      </c>
      <c r="Q741" s="11"/>
      <c r="R741" s="11"/>
      <c r="S741" s="24" t="s">
        <v>30</v>
      </c>
      <c r="T741" s="24"/>
      <c r="U741" s="24"/>
      <c r="V741" s="24"/>
    </row>
    <row r="742" spans="1:22" ht="76.5">
      <c r="A742" s="10" t="s">
        <v>202</v>
      </c>
      <c r="B742" s="11" t="str">
        <f>IFERROR(VLOOKUP(A742,Systems!A:B,2,FALSE),"Various")</f>
        <v>Hull connections</v>
      </c>
      <c r="C742" s="11" t="s">
        <v>70</v>
      </c>
      <c r="D742" s="11"/>
      <c r="E742" s="11"/>
      <c r="F742" s="24" t="s">
        <v>1064</v>
      </c>
      <c r="G742" s="38"/>
      <c r="H742" s="11"/>
      <c r="I742" s="11"/>
      <c r="J742" s="11"/>
      <c r="K742" s="11"/>
      <c r="L742" s="11"/>
      <c r="M742" s="11"/>
      <c r="N742" s="11"/>
      <c r="O742" s="11"/>
      <c r="P742" s="11" t="s">
        <v>503</v>
      </c>
      <c r="Q742" s="11"/>
      <c r="R742" s="11"/>
      <c r="S742" s="24" t="s">
        <v>30</v>
      </c>
      <c r="T742" s="24"/>
      <c r="U742" s="24" t="str">
        <f>IF(OR(NOT(H742=""),NOT(M742="")),"","x")</f>
        <v>x</v>
      </c>
      <c r="V742" s="24"/>
    </row>
    <row r="743" spans="1:22" ht="51">
      <c r="A743" s="10" t="s">
        <v>202</v>
      </c>
      <c r="B743" s="11" t="str">
        <f>IFERROR(VLOOKUP(A743,Systems!A:B,2,FALSE),"Various")</f>
        <v>Hull connections</v>
      </c>
      <c r="C743" s="11" t="s">
        <v>97</v>
      </c>
      <c r="D743" s="11"/>
      <c r="E743" s="11"/>
      <c r="F743" s="24" t="s">
        <v>1064</v>
      </c>
      <c r="G743" s="38"/>
      <c r="H743" s="11"/>
      <c r="I743" s="11"/>
      <c r="J743" s="11"/>
      <c r="K743" s="11"/>
      <c r="L743" s="11"/>
      <c r="M743" s="11" t="s">
        <v>912</v>
      </c>
      <c r="N743" s="11"/>
      <c r="O743" s="11"/>
      <c r="P743" s="11"/>
      <c r="Q743" s="11"/>
      <c r="R743" s="11"/>
      <c r="S743" s="24" t="s">
        <v>30</v>
      </c>
      <c r="T743" s="24"/>
      <c r="U743" s="24"/>
      <c r="V743" s="24"/>
    </row>
    <row r="744" spans="1:22" ht="25.5">
      <c r="A744" s="10" t="s">
        <v>202</v>
      </c>
      <c r="B744" s="11" t="str">
        <f>IFERROR(VLOOKUP(A744,Systems!A:B,2,FALSE),"Various")</f>
        <v>Hull connections</v>
      </c>
      <c r="C744" s="11" t="s">
        <v>617</v>
      </c>
      <c r="D744" s="11"/>
      <c r="E744" s="11"/>
      <c r="F744" s="24" t="s">
        <v>1064</v>
      </c>
      <c r="G744" s="38"/>
      <c r="H744" s="11"/>
      <c r="I744" s="11"/>
      <c r="J744" s="11"/>
      <c r="K744" s="11"/>
      <c r="L744" s="11"/>
      <c r="M744" s="11"/>
      <c r="N744" s="11"/>
      <c r="O744" s="11" t="s">
        <v>676</v>
      </c>
      <c r="P744" s="11"/>
      <c r="Q744" s="11"/>
      <c r="R744" s="11"/>
      <c r="S744" s="24" t="s">
        <v>30</v>
      </c>
      <c r="T744" s="24"/>
      <c r="U744" s="24"/>
      <c r="V744" s="24"/>
    </row>
    <row r="745" spans="1:22" ht="63.75">
      <c r="A745" s="10" t="s">
        <v>202</v>
      </c>
      <c r="B745" s="11" t="str">
        <f>IFERROR(VLOOKUP(A745,Systems!A:B,2,FALSE),"Various")</f>
        <v>Hull connections</v>
      </c>
      <c r="C745" s="11" t="s">
        <v>1884</v>
      </c>
      <c r="D745" s="11"/>
      <c r="E745" s="11"/>
      <c r="F745" s="24" t="s">
        <v>1064</v>
      </c>
      <c r="G745" s="38"/>
      <c r="H745" s="11"/>
      <c r="I745" s="11"/>
      <c r="J745" s="11"/>
      <c r="K745" s="11"/>
      <c r="L745" s="11" t="s">
        <v>1877</v>
      </c>
      <c r="M745" s="11"/>
      <c r="N745" s="11"/>
      <c r="O745" s="11"/>
      <c r="P745" s="11"/>
      <c r="Q745" s="11"/>
      <c r="R745" s="11"/>
      <c r="S745" s="24" t="s">
        <v>30</v>
      </c>
      <c r="T745" s="24"/>
      <c r="U745" s="24"/>
      <c r="V745" s="24"/>
    </row>
    <row r="746" spans="1:22" ht="38.25">
      <c r="A746" s="10" t="s">
        <v>202</v>
      </c>
      <c r="B746" s="11" t="str">
        <f>IFERROR(VLOOKUP(A746,Systems!A:B,2,FALSE),"Various")</f>
        <v>Hull connections</v>
      </c>
      <c r="C746" s="11" t="s">
        <v>1885</v>
      </c>
      <c r="D746" s="11"/>
      <c r="E746" s="11"/>
      <c r="F746" s="24" t="s">
        <v>1064</v>
      </c>
      <c r="G746" s="38"/>
      <c r="H746" s="11"/>
      <c r="I746" s="11"/>
      <c r="J746" s="11"/>
      <c r="K746" s="11"/>
      <c r="L746" s="11" t="s">
        <v>1879</v>
      </c>
      <c r="M746" s="11"/>
      <c r="N746" s="11"/>
      <c r="O746" s="11"/>
      <c r="P746" s="11"/>
      <c r="Q746" s="11"/>
      <c r="R746" s="11"/>
      <c r="S746" s="24" t="s">
        <v>30</v>
      </c>
      <c r="T746" s="24"/>
      <c r="U746" s="24"/>
      <c r="V746" s="24"/>
    </row>
    <row r="747" spans="1:22" ht="191.25">
      <c r="A747" s="10" t="s">
        <v>877</v>
      </c>
      <c r="B747" s="11" t="str">
        <f>IFERROR(VLOOKUP(A747,Systems!A:B,2,FALSE),"Various")</f>
        <v>Various</v>
      </c>
      <c r="C747" s="11" t="s">
        <v>878</v>
      </c>
      <c r="D747" s="11"/>
      <c r="E747" s="11"/>
      <c r="F747" s="24" t="s">
        <v>1064</v>
      </c>
      <c r="G747" s="38"/>
      <c r="H747" s="11"/>
      <c r="I747" s="11"/>
      <c r="J747" s="11"/>
      <c r="K747" s="11"/>
      <c r="L747" s="11"/>
      <c r="M747" s="11"/>
      <c r="N747" s="11" t="s">
        <v>879</v>
      </c>
      <c r="O747" s="11"/>
      <c r="P747" s="11"/>
      <c r="Q747" s="11"/>
      <c r="R747" s="11"/>
      <c r="S747" s="24" t="s">
        <v>30</v>
      </c>
      <c r="T747" s="24"/>
      <c r="U747" s="24"/>
      <c r="V747" s="24"/>
    </row>
    <row r="748" spans="1:22" ht="38.25">
      <c r="A748" s="10" t="s">
        <v>206</v>
      </c>
      <c r="B748" s="11" t="str">
        <f>IFERROR(VLOOKUP(A748,Systems!A:B,2,FALSE),"Various")</f>
        <v>Various</v>
      </c>
      <c r="C748" s="11" t="s">
        <v>508</v>
      </c>
      <c r="D748" s="11"/>
      <c r="E748" s="11"/>
      <c r="F748" s="24" t="s">
        <v>1064</v>
      </c>
      <c r="G748" s="38"/>
      <c r="H748" s="11"/>
      <c r="I748" s="11"/>
      <c r="J748" s="11"/>
      <c r="K748" s="11"/>
      <c r="L748" s="11"/>
      <c r="M748" s="11" t="s">
        <v>511</v>
      </c>
      <c r="N748" s="11"/>
      <c r="O748" s="11"/>
      <c r="P748" s="11"/>
      <c r="Q748" s="11"/>
      <c r="R748" s="11"/>
      <c r="S748" s="24" t="s">
        <v>30</v>
      </c>
      <c r="T748" s="24"/>
      <c r="U748" s="24"/>
      <c r="V748" s="24"/>
    </row>
    <row r="749" spans="1:22" ht="38.25">
      <c r="A749" s="10" t="s">
        <v>893</v>
      </c>
      <c r="B749" s="11" t="str">
        <f>IFERROR(VLOOKUP(A749,Systems!A:B,2,FALSE),"Various")</f>
        <v>Various</v>
      </c>
      <c r="C749" s="11" t="s">
        <v>106</v>
      </c>
      <c r="D749" s="11"/>
      <c r="E749" s="11"/>
      <c r="F749" s="24" t="s">
        <v>1064</v>
      </c>
      <c r="G749" s="38"/>
      <c r="H749" s="11"/>
      <c r="I749" s="11"/>
      <c r="J749" s="11"/>
      <c r="K749" s="11"/>
      <c r="L749" s="11"/>
      <c r="M749" s="11" t="s">
        <v>513</v>
      </c>
      <c r="N749" s="11"/>
      <c r="O749" s="11"/>
      <c r="P749" s="11"/>
      <c r="Q749" s="11"/>
      <c r="R749" s="11"/>
      <c r="S749" s="24" t="s">
        <v>30</v>
      </c>
      <c r="T749" s="24"/>
      <c r="U749" s="24"/>
      <c r="V749" s="24"/>
    </row>
    <row r="750" spans="1:22" ht="153">
      <c r="A750" s="10" t="s">
        <v>510</v>
      </c>
      <c r="B750" s="11" t="str">
        <f>IFERROR(VLOOKUP(A750,Systems!A:B,2,FALSE),"Various")</f>
        <v>Various</v>
      </c>
      <c r="C750" s="11" t="s">
        <v>509</v>
      </c>
      <c r="D750" s="11"/>
      <c r="E750" s="11"/>
      <c r="F750" s="24" t="s">
        <v>1064</v>
      </c>
      <c r="G750" s="38"/>
      <c r="H750" s="11"/>
      <c r="I750" s="11"/>
      <c r="J750" s="11"/>
      <c r="K750" s="11"/>
      <c r="L750" s="11"/>
      <c r="M750" s="11" t="s">
        <v>512</v>
      </c>
      <c r="N750" s="11"/>
      <c r="O750" s="11"/>
      <c r="P750" s="11"/>
      <c r="Q750" s="11"/>
      <c r="R750" s="11"/>
      <c r="S750" s="24" t="s">
        <v>30</v>
      </c>
      <c r="T750" s="24"/>
      <c r="U750" s="24"/>
      <c r="V750" s="24"/>
    </row>
    <row r="751" spans="1:22" ht="102">
      <c r="A751" s="10" t="s">
        <v>1883</v>
      </c>
      <c r="B751" s="11" t="str">
        <f>IFERROR(VLOOKUP(A751,Systems!A:B,2,FALSE),"Various")</f>
        <v>Various</v>
      </c>
      <c r="C751" s="11" t="s">
        <v>1887</v>
      </c>
      <c r="D751" s="11"/>
      <c r="E751" s="11"/>
      <c r="F751" s="24" t="s">
        <v>1064</v>
      </c>
      <c r="G751" s="38"/>
      <c r="H751" s="11"/>
      <c r="I751" s="11"/>
      <c r="J751" s="11"/>
      <c r="K751" s="11"/>
      <c r="L751" s="11" t="s">
        <v>1882</v>
      </c>
      <c r="M751" s="11"/>
      <c r="N751" s="11"/>
      <c r="O751" s="11"/>
      <c r="P751" s="11"/>
      <c r="Q751" s="11"/>
      <c r="R751" s="11"/>
      <c r="S751" s="24" t="s">
        <v>30</v>
      </c>
      <c r="T751" s="24"/>
      <c r="U751" s="24"/>
      <c r="V751" s="24"/>
    </row>
    <row r="752" spans="1:22" ht="191.25">
      <c r="A752" s="10" t="s">
        <v>1881</v>
      </c>
      <c r="B752" s="11" t="str">
        <f>IFERROR(VLOOKUP(A752,Systems!A:B,2,FALSE),"Various")</f>
        <v>Various</v>
      </c>
      <c r="C752" s="11" t="s">
        <v>1886</v>
      </c>
      <c r="D752" s="11"/>
      <c r="E752" s="11"/>
      <c r="F752" s="24" t="s">
        <v>1064</v>
      </c>
      <c r="G752" s="38"/>
      <c r="H752" s="11"/>
      <c r="I752" s="11"/>
      <c r="J752" s="11"/>
      <c r="K752" s="11"/>
      <c r="L752" s="11" t="s">
        <v>1880</v>
      </c>
      <c r="M752" s="11"/>
      <c r="N752" s="11"/>
      <c r="O752" s="11"/>
      <c r="P752" s="11"/>
      <c r="Q752" s="11"/>
      <c r="R752" s="11"/>
      <c r="S752" s="24" t="s">
        <v>30</v>
      </c>
      <c r="T752" s="24"/>
      <c r="U752" s="24"/>
      <c r="V752" s="24"/>
    </row>
    <row r="753" spans="1:22" ht="204">
      <c r="A753" s="10" t="s">
        <v>838</v>
      </c>
      <c r="B753" s="11" t="str">
        <f>IFERROR(VLOOKUP(A753,Systems!A:B,2,FALSE),"Various")</f>
        <v>Hatches</v>
      </c>
      <c r="C753" s="11" t="s">
        <v>254</v>
      </c>
      <c r="D753" s="11"/>
      <c r="E753" s="11"/>
      <c r="F753" s="24" t="s">
        <v>1064</v>
      </c>
      <c r="G753" s="38"/>
      <c r="H753" s="11"/>
      <c r="I753" s="11"/>
      <c r="J753" s="11"/>
      <c r="K753" s="11"/>
      <c r="L753" s="11"/>
      <c r="M753" s="11" t="s">
        <v>253</v>
      </c>
      <c r="N753" s="11"/>
      <c r="O753" s="11"/>
      <c r="P753" s="11"/>
      <c r="Q753" s="11"/>
      <c r="R753" s="11"/>
      <c r="S753" s="24" t="s">
        <v>30</v>
      </c>
      <c r="T753" s="24"/>
      <c r="U753" s="24"/>
      <c r="V753" s="24"/>
    </row>
    <row r="754" spans="1:22" ht="255">
      <c r="A754" s="10" t="s">
        <v>838</v>
      </c>
      <c r="B754" s="11" t="str">
        <f>IFERROR(VLOOKUP(A754,Systems!A:B,2,FALSE),"Various")</f>
        <v>Hatches</v>
      </c>
      <c r="C754" s="11" t="s">
        <v>142</v>
      </c>
      <c r="D754" s="11"/>
      <c r="E754" s="11"/>
      <c r="F754" s="24" t="s">
        <v>1064</v>
      </c>
      <c r="G754" s="38"/>
      <c r="H754" s="11"/>
      <c r="I754" s="11"/>
      <c r="J754" s="11"/>
      <c r="K754" s="11"/>
      <c r="L754" s="11"/>
      <c r="M754" s="11" t="s">
        <v>255</v>
      </c>
      <c r="N754" s="11"/>
      <c r="O754" s="11"/>
      <c r="P754" s="11"/>
      <c r="Q754" s="11"/>
      <c r="R754" s="11"/>
      <c r="S754" s="34"/>
      <c r="T754" s="34"/>
      <c r="U754" s="34"/>
      <c r="V754" s="34"/>
    </row>
    <row r="755" spans="1:22" ht="140.25">
      <c r="A755" s="10" t="s">
        <v>839</v>
      </c>
      <c r="B755" s="11" t="str">
        <f>IFERROR(VLOOKUP(A755,Systems!A:B,2,FALSE),"Various")</f>
        <v>Manholes / manhole covers</v>
      </c>
      <c r="C755" s="11" t="s">
        <v>49</v>
      </c>
      <c r="D755" s="11"/>
      <c r="E755" s="11"/>
      <c r="F755" s="24" t="s">
        <v>1064</v>
      </c>
      <c r="G755" s="38"/>
      <c r="H755" s="11"/>
      <c r="I755" s="11"/>
      <c r="J755" s="11"/>
      <c r="K755" s="11"/>
      <c r="L755" s="11"/>
      <c r="M755" s="11" t="s">
        <v>256</v>
      </c>
      <c r="N755" s="11"/>
      <c r="O755" s="11"/>
      <c r="P755" s="11"/>
      <c r="Q755" s="11"/>
      <c r="R755" s="11"/>
      <c r="S755" s="24" t="s">
        <v>30</v>
      </c>
      <c r="T755" s="24" t="s">
        <v>30</v>
      </c>
      <c r="U755" s="24" t="str">
        <f>IF(OR(NOT(H755=""),NOT(M755="")),"","x")</f>
        <v/>
      </c>
      <c r="V755" s="24"/>
    </row>
    <row r="756" spans="1:22" ht="255">
      <c r="A756" s="10" t="s">
        <v>847</v>
      </c>
      <c r="B756" s="11" t="str">
        <f>IFERROR(VLOOKUP(A756,Systems!A:B,2,FALSE),"Various")</f>
        <v>Stairs / ladders / climbing steps</v>
      </c>
      <c r="C756" s="11" t="s">
        <v>141</v>
      </c>
      <c r="D756" s="11"/>
      <c r="E756" s="11"/>
      <c r="F756" s="24" t="s">
        <v>1064</v>
      </c>
      <c r="G756" s="38"/>
      <c r="H756" s="11"/>
      <c r="I756" s="11"/>
      <c r="J756" s="11"/>
      <c r="K756" s="11"/>
      <c r="L756" s="11"/>
      <c r="M756" s="11" t="s">
        <v>260</v>
      </c>
      <c r="N756" s="11"/>
      <c r="O756" s="11"/>
      <c r="P756" s="11" t="s">
        <v>260</v>
      </c>
      <c r="Q756" s="11"/>
      <c r="R756" s="11"/>
      <c r="S756" s="24" t="s">
        <v>30</v>
      </c>
      <c r="T756" s="24"/>
      <c r="U756" s="24" t="str">
        <f>IF(OR(NOT(H756=""),NOT(M756="")),"","x")</f>
        <v/>
      </c>
      <c r="V756" s="24"/>
    </row>
    <row r="757" spans="1:22" ht="76.5">
      <c r="A757" s="10" t="s">
        <v>848</v>
      </c>
      <c r="B757" s="11" t="str">
        <f>IFERROR(VLOOKUP(A757,Systems!A:B,2,FALSE),"Various")</f>
        <v>Railings / handrails / grips</v>
      </c>
      <c r="C757" s="11" t="s">
        <v>137</v>
      </c>
      <c r="D757" s="11"/>
      <c r="E757" s="11"/>
      <c r="F757" s="24" t="s">
        <v>1064</v>
      </c>
      <c r="G757" s="38"/>
      <c r="H757" s="11"/>
      <c r="I757" s="11"/>
      <c r="J757" s="11"/>
      <c r="K757" s="11"/>
      <c r="L757" s="11"/>
      <c r="M757" s="11" t="s">
        <v>266</v>
      </c>
      <c r="N757" s="11"/>
      <c r="O757" s="11"/>
      <c r="P757" s="11"/>
      <c r="Q757" s="11"/>
      <c r="R757" s="11"/>
      <c r="S757" s="24" t="s">
        <v>30</v>
      </c>
      <c r="T757" s="24"/>
      <c r="U757" s="24" t="str">
        <f>IF(OR(NOT(H757=""),NOT(M757="")),"","x")</f>
        <v/>
      </c>
      <c r="V757" s="24"/>
    </row>
    <row r="758" spans="1:22" ht="267.75">
      <c r="A758" s="10" t="s">
        <v>848</v>
      </c>
      <c r="B758" s="11" t="str">
        <f>IFERROR(VLOOKUP(A758,Systems!A:B,2,FALSE),"Various")</f>
        <v>Railings / handrails / grips</v>
      </c>
      <c r="C758" s="11" t="s">
        <v>138</v>
      </c>
      <c r="D758" s="11"/>
      <c r="E758" s="11"/>
      <c r="F758" s="24" t="s">
        <v>1064</v>
      </c>
      <c r="G758" s="38"/>
      <c r="H758" s="11"/>
      <c r="I758" s="11"/>
      <c r="J758" s="11"/>
      <c r="K758" s="11"/>
      <c r="L758" s="11"/>
      <c r="M758" s="11" t="s">
        <v>267</v>
      </c>
      <c r="N758" s="11"/>
      <c r="O758" s="11"/>
      <c r="P758" s="11"/>
      <c r="Q758" s="11"/>
      <c r="R758" s="11"/>
      <c r="S758" s="24" t="s">
        <v>30</v>
      </c>
      <c r="T758" s="24"/>
      <c r="U758" s="24" t="str">
        <f>IF(OR(NOT(H758=""),NOT(M758="")),"","x")</f>
        <v/>
      </c>
      <c r="V758" s="24"/>
    </row>
    <row r="759" spans="1:22" ht="114.75">
      <c r="A759" s="10" t="s">
        <v>849</v>
      </c>
      <c r="B759" s="11" t="str">
        <f>IFERROR(VLOOKUP(A759,Systems!A:B,2,FALSE),"Various")</f>
        <v>Platforms / gratings</v>
      </c>
      <c r="C759" s="11" t="s">
        <v>139</v>
      </c>
      <c r="D759" s="11"/>
      <c r="E759" s="11"/>
      <c r="F759" s="24" t="s">
        <v>1064</v>
      </c>
      <c r="G759" s="38"/>
      <c r="H759" s="11"/>
      <c r="I759" s="11"/>
      <c r="J759" s="11"/>
      <c r="K759" s="11"/>
      <c r="L759" s="11"/>
      <c r="M759" s="11" t="s">
        <v>269</v>
      </c>
      <c r="N759" s="11"/>
      <c r="O759" s="11"/>
      <c r="P759" s="11" t="s">
        <v>269</v>
      </c>
      <c r="Q759" s="11"/>
      <c r="R759" s="11"/>
      <c r="S759" s="24" t="s">
        <v>30</v>
      </c>
      <c r="T759" s="24"/>
      <c r="U759" s="24"/>
      <c r="V759" s="24"/>
    </row>
    <row r="760" spans="1:22" ht="127.5">
      <c r="A760" s="10" t="s">
        <v>849</v>
      </c>
      <c r="B760" s="11" t="str">
        <f>IFERROR(VLOOKUP(A760,Systems!A:B,2,FALSE),"Various")</f>
        <v>Platforms / gratings</v>
      </c>
      <c r="C760" s="11" t="s">
        <v>140</v>
      </c>
      <c r="D760" s="11"/>
      <c r="E760" s="11"/>
      <c r="F760" s="24" t="s">
        <v>1064</v>
      </c>
      <c r="G760" s="38"/>
      <c r="H760" s="11"/>
      <c r="I760" s="11"/>
      <c r="J760" s="11"/>
      <c r="K760" s="11"/>
      <c r="L760" s="11"/>
      <c r="M760" s="11" t="s">
        <v>270</v>
      </c>
      <c r="N760" s="11"/>
      <c r="O760" s="11"/>
      <c r="P760" s="11" t="s">
        <v>270</v>
      </c>
      <c r="Q760" s="11"/>
      <c r="R760" s="11"/>
      <c r="S760" s="24" t="s">
        <v>30</v>
      </c>
      <c r="T760" s="24"/>
      <c r="U760" s="24" t="str">
        <f>IF(OR(NOT(H760=""),NOT(M760="")),"","x")</f>
        <v/>
      </c>
      <c r="V760" s="24"/>
    </row>
    <row r="761" spans="1:22" ht="114.75">
      <c r="A761" s="10" t="s">
        <v>272</v>
      </c>
      <c r="B761" s="11" t="str">
        <f>IFERROR(VLOOKUP(A761,Systems!A:B,2,FALSE),"Various")</f>
        <v>Cathodic protection</v>
      </c>
      <c r="C761" s="11" t="s">
        <v>143</v>
      </c>
      <c r="D761" s="11"/>
      <c r="E761" s="11"/>
      <c r="F761" s="24" t="s">
        <v>1064</v>
      </c>
      <c r="G761" s="38"/>
      <c r="H761" s="11"/>
      <c r="I761" s="11"/>
      <c r="J761" s="11"/>
      <c r="K761" s="11"/>
      <c r="L761" s="11"/>
      <c r="M761" s="11" t="s">
        <v>271</v>
      </c>
      <c r="N761" s="11"/>
      <c r="O761" s="11"/>
      <c r="P761" s="11" t="s">
        <v>271</v>
      </c>
      <c r="Q761" s="11"/>
      <c r="R761" s="11"/>
      <c r="S761" s="24" t="s">
        <v>30</v>
      </c>
      <c r="T761" s="24"/>
      <c r="U761" s="24" t="str">
        <f>IF(OR(NOT(H761=""),NOT(M761="")),"","x")</f>
        <v/>
      </c>
      <c r="V761" s="24"/>
    </row>
    <row r="762" spans="1:22" ht="38.25">
      <c r="A762" s="10" t="s">
        <v>273</v>
      </c>
      <c r="B762" s="11" t="str">
        <f>IFERROR(VLOOKUP(A762,Systems!A:B,2,FALSE),"Various")</f>
        <v>Main machinery</v>
      </c>
      <c r="C762" s="11" t="s">
        <v>275</v>
      </c>
      <c r="D762" s="11"/>
      <c r="E762" s="11"/>
      <c r="F762" s="24" t="s">
        <v>1064</v>
      </c>
      <c r="G762" s="38"/>
      <c r="H762" s="11"/>
      <c r="I762" s="11"/>
      <c r="J762" s="11"/>
      <c r="K762" s="11"/>
      <c r="L762" s="11"/>
      <c r="M762" s="11" t="s">
        <v>274</v>
      </c>
      <c r="N762" s="11"/>
      <c r="O762" s="11"/>
      <c r="P762" s="11"/>
      <c r="Q762" s="11"/>
      <c r="R762" s="11"/>
      <c r="S762" s="24" t="s">
        <v>30</v>
      </c>
      <c r="T762" s="24"/>
      <c r="U762" s="24" t="str">
        <f>IF(OR(NOT(H762=""),NOT(M762="")),"","x")</f>
        <v/>
      </c>
      <c r="V762" s="24"/>
    </row>
    <row r="763" spans="1:22" ht="51">
      <c r="A763" s="10" t="s">
        <v>856</v>
      </c>
      <c r="B763" s="11" t="str">
        <f>IFERROR(VLOOKUP(A763,Systems!A:B,2,FALSE),"Various")</f>
        <v>Thrust systems / shafts</v>
      </c>
      <c r="C763" s="11" t="s">
        <v>95</v>
      </c>
      <c r="D763" s="11"/>
      <c r="E763" s="11"/>
      <c r="F763" s="24" t="s">
        <v>1064</v>
      </c>
      <c r="G763" s="38"/>
      <c r="H763" s="11"/>
      <c r="I763" s="11"/>
      <c r="J763" s="11"/>
      <c r="K763" s="11"/>
      <c r="L763" s="11"/>
      <c r="M763" s="11" t="s">
        <v>278</v>
      </c>
      <c r="N763" s="11"/>
      <c r="O763" s="11"/>
      <c r="P763" s="11"/>
      <c r="Q763" s="11"/>
      <c r="R763" s="11"/>
      <c r="S763" s="24" t="s">
        <v>30</v>
      </c>
      <c r="T763" s="24"/>
      <c r="U763" s="24" t="str">
        <f>IF(OR(NOT(H763=""),NOT(M763="")),"","x")</f>
        <v/>
      </c>
      <c r="V763" s="24"/>
    </row>
    <row r="764" spans="1:22" ht="51">
      <c r="A764" s="10" t="s">
        <v>856</v>
      </c>
      <c r="B764" s="11" t="str">
        <f>IFERROR(VLOOKUP(A764,Systems!A:B,2,FALSE),"Various")</f>
        <v>Thrust systems / shafts</v>
      </c>
      <c r="C764" s="11" t="s">
        <v>92</v>
      </c>
      <c r="D764" s="11"/>
      <c r="E764" s="11"/>
      <c r="F764" s="24" t="s">
        <v>1064</v>
      </c>
      <c r="G764" s="38"/>
      <c r="H764" s="11"/>
      <c r="I764" s="11"/>
      <c r="J764" s="11"/>
      <c r="K764" s="11"/>
      <c r="L764" s="11"/>
      <c r="M764" s="11" t="s">
        <v>279</v>
      </c>
      <c r="N764" s="11"/>
      <c r="O764" s="11"/>
      <c r="P764" s="11"/>
      <c r="Q764" s="11"/>
      <c r="R764" s="11"/>
      <c r="S764" s="24" t="s">
        <v>1305</v>
      </c>
      <c r="T764" s="24"/>
      <c r="U764" s="24"/>
      <c r="V764" s="24"/>
    </row>
    <row r="765" spans="1:22" ht="38.25">
      <c r="A765" s="10" t="s">
        <v>856</v>
      </c>
      <c r="B765" s="11" t="str">
        <f>IFERROR(VLOOKUP(A765,Systems!A:B,2,FALSE),"Various")</f>
        <v>Thrust systems / shafts</v>
      </c>
      <c r="C765" s="11" t="s">
        <v>95</v>
      </c>
      <c r="D765" s="11"/>
      <c r="E765" s="11"/>
      <c r="F765" s="24" t="s">
        <v>1064</v>
      </c>
      <c r="G765" s="38"/>
      <c r="H765" s="11"/>
      <c r="I765" s="11"/>
      <c r="J765" s="11"/>
      <c r="K765" s="11"/>
      <c r="L765" s="11"/>
      <c r="M765" s="11" t="s">
        <v>280</v>
      </c>
      <c r="N765" s="11"/>
      <c r="O765" s="11"/>
      <c r="P765" s="11"/>
      <c r="Q765" s="11"/>
      <c r="R765" s="11"/>
      <c r="S765" s="24" t="s">
        <v>1305</v>
      </c>
      <c r="T765" s="24"/>
      <c r="U765" s="24"/>
      <c r="V765" s="24"/>
    </row>
    <row r="766" spans="1:22" ht="140.25">
      <c r="A766" s="10" t="s">
        <v>187</v>
      </c>
      <c r="B766" s="11" t="str">
        <f>IFERROR(VLOOKUP(A766,Systems!A:B,2,FALSE),"Various")</f>
        <v>Piping common</v>
      </c>
      <c r="C766" s="11" t="s">
        <v>54</v>
      </c>
      <c r="D766" s="11"/>
      <c r="E766" s="11"/>
      <c r="F766" s="24" t="s">
        <v>1064</v>
      </c>
      <c r="G766" s="38"/>
      <c r="H766" s="11"/>
      <c r="I766" s="11"/>
      <c r="J766" s="11"/>
      <c r="K766" s="11"/>
      <c r="L766" s="11"/>
      <c r="M766" s="11"/>
      <c r="N766" s="11"/>
      <c r="O766" s="11"/>
      <c r="P766" s="11" t="s">
        <v>282</v>
      </c>
      <c r="Q766" s="11"/>
      <c r="R766" s="11"/>
      <c r="S766" s="24" t="s">
        <v>1305</v>
      </c>
      <c r="T766" s="24"/>
      <c r="U766" s="24"/>
      <c r="V766" s="24"/>
    </row>
    <row r="767" spans="1:22" ht="102">
      <c r="A767" s="10" t="s">
        <v>187</v>
      </c>
      <c r="B767" s="11" t="str">
        <f>IFERROR(VLOOKUP(A767,Systems!A:B,2,FALSE),"Various")</f>
        <v>Piping common</v>
      </c>
      <c r="C767" s="11" t="s">
        <v>55</v>
      </c>
      <c r="D767" s="11"/>
      <c r="E767" s="11"/>
      <c r="F767" s="24" t="s">
        <v>1064</v>
      </c>
      <c r="G767" s="38"/>
      <c r="H767" s="11"/>
      <c r="I767" s="11"/>
      <c r="J767" s="11"/>
      <c r="K767" s="11"/>
      <c r="L767" s="11"/>
      <c r="M767" s="11"/>
      <c r="N767" s="11"/>
      <c r="O767" s="11"/>
      <c r="P767" s="11" t="s">
        <v>293</v>
      </c>
      <c r="Q767" s="11"/>
      <c r="R767" s="11"/>
      <c r="S767" s="24" t="s">
        <v>1305</v>
      </c>
      <c r="T767" s="24"/>
      <c r="U767" s="24"/>
      <c r="V767" s="24"/>
    </row>
    <row r="768" spans="1:22" ht="216.75">
      <c r="A768" s="10" t="s">
        <v>187</v>
      </c>
      <c r="B768" s="11" t="str">
        <f>IFERROR(VLOOKUP(A768,Systems!A:B,2,FALSE),"Various")</f>
        <v>Piping common</v>
      </c>
      <c r="C768" s="11" t="s">
        <v>55</v>
      </c>
      <c r="D768" s="11"/>
      <c r="E768" s="11"/>
      <c r="F768" s="24" t="s">
        <v>1064</v>
      </c>
      <c r="G768" s="38"/>
      <c r="H768" s="11"/>
      <c r="I768" s="11"/>
      <c r="J768" s="11"/>
      <c r="K768" s="11"/>
      <c r="L768" s="11"/>
      <c r="M768" s="11"/>
      <c r="N768" s="11"/>
      <c r="O768" s="11"/>
      <c r="P768" s="11" t="s">
        <v>294</v>
      </c>
      <c r="Q768" s="11"/>
      <c r="R768" s="11"/>
      <c r="S768" s="24" t="s">
        <v>1305</v>
      </c>
      <c r="T768" s="24"/>
      <c r="U768" s="24"/>
      <c r="V768" s="24"/>
    </row>
    <row r="769" spans="1:22" ht="153">
      <c r="A769" s="10" t="s">
        <v>187</v>
      </c>
      <c r="B769" s="11" t="str">
        <f>IFERROR(VLOOKUP(A769,Systems!A:B,2,FALSE),"Various")</f>
        <v>Piping common</v>
      </c>
      <c r="C769" s="11" t="s">
        <v>55</v>
      </c>
      <c r="D769" s="11"/>
      <c r="E769" s="11"/>
      <c r="F769" s="24" t="s">
        <v>1064</v>
      </c>
      <c r="G769" s="38"/>
      <c r="H769" s="11"/>
      <c r="I769" s="11"/>
      <c r="J769" s="11"/>
      <c r="K769" s="11"/>
      <c r="L769" s="11"/>
      <c r="M769" s="11"/>
      <c r="N769" s="11"/>
      <c r="O769" s="11"/>
      <c r="P769" s="11" t="s">
        <v>295</v>
      </c>
      <c r="Q769" s="11"/>
      <c r="R769" s="11"/>
      <c r="S769" s="24" t="s">
        <v>30</v>
      </c>
      <c r="T769" s="24"/>
      <c r="U769" s="24" t="str">
        <f t="shared" ref="U769:U780" si="20">IF(OR(NOT(H769=""),NOT(M769="")),"","x")</f>
        <v>x</v>
      </c>
      <c r="V769" s="24"/>
    </row>
    <row r="770" spans="1:22" ht="255">
      <c r="A770" s="10" t="s">
        <v>187</v>
      </c>
      <c r="B770" s="11" t="str">
        <f>IFERROR(VLOOKUP(A770,Systems!A:B,2,FALSE),"Various")</f>
        <v>Piping common</v>
      </c>
      <c r="C770" s="11" t="s">
        <v>55</v>
      </c>
      <c r="D770" s="11"/>
      <c r="E770" s="11"/>
      <c r="F770" s="24" t="s">
        <v>1064</v>
      </c>
      <c r="G770" s="38"/>
      <c r="H770" s="11"/>
      <c r="I770" s="11"/>
      <c r="J770" s="11"/>
      <c r="K770" s="11"/>
      <c r="L770" s="11"/>
      <c r="M770" s="11"/>
      <c r="N770" s="11"/>
      <c r="O770" s="11"/>
      <c r="P770" s="11" t="s">
        <v>292</v>
      </c>
      <c r="Q770" s="11"/>
      <c r="R770" s="11"/>
      <c r="S770" s="24" t="s">
        <v>30</v>
      </c>
      <c r="T770" s="24"/>
      <c r="U770" s="24" t="str">
        <f t="shared" si="20"/>
        <v>x</v>
      </c>
      <c r="V770" s="24"/>
    </row>
    <row r="771" spans="1:22" ht="25.5">
      <c r="A771" s="10" t="s">
        <v>187</v>
      </c>
      <c r="B771" s="11" t="str">
        <f>IFERROR(VLOOKUP(A771,Systems!A:B,2,FALSE),"Various")</f>
        <v>Piping common</v>
      </c>
      <c r="C771" s="11" t="s">
        <v>51</v>
      </c>
      <c r="D771" s="11"/>
      <c r="E771" s="11"/>
      <c r="F771" s="24" t="s">
        <v>1064</v>
      </c>
      <c r="G771" s="38"/>
      <c r="H771" s="11"/>
      <c r="I771" s="11"/>
      <c r="J771" s="11"/>
      <c r="K771" s="11"/>
      <c r="L771" s="11"/>
      <c r="M771" s="11"/>
      <c r="N771" s="11"/>
      <c r="O771" s="11"/>
      <c r="P771" s="11" t="s">
        <v>297</v>
      </c>
      <c r="Q771" s="11"/>
      <c r="R771" s="11"/>
      <c r="S771" s="24" t="s">
        <v>30</v>
      </c>
      <c r="T771" s="24"/>
      <c r="U771" s="24" t="str">
        <f t="shared" si="20"/>
        <v>x</v>
      </c>
      <c r="V771" s="24"/>
    </row>
    <row r="772" spans="1:22">
      <c r="A772" s="10" t="s">
        <v>187</v>
      </c>
      <c r="B772" s="11" t="str">
        <f>IFERROR(VLOOKUP(A772,Systems!A:B,2,FALSE),"Various")</f>
        <v>Piping common</v>
      </c>
      <c r="C772" s="11" t="s">
        <v>50</v>
      </c>
      <c r="D772" s="11"/>
      <c r="E772" s="11"/>
      <c r="F772" s="24" t="s">
        <v>1064</v>
      </c>
      <c r="G772" s="38"/>
      <c r="H772" s="11"/>
      <c r="I772" s="11"/>
      <c r="J772" s="11"/>
      <c r="K772" s="11"/>
      <c r="L772" s="11"/>
      <c r="M772" s="11"/>
      <c r="N772" s="11"/>
      <c r="O772" s="11"/>
      <c r="P772" s="11" t="s">
        <v>296</v>
      </c>
      <c r="Q772" s="11"/>
      <c r="R772" s="11"/>
      <c r="S772" s="24" t="s">
        <v>30</v>
      </c>
      <c r="T772" s="24"/>
      <c r="U772" s="24" t="str">
        <f t="shared" si="20"/>
        <v>x</v>
      </c>
      <c r="V772" s="24"/>
    </row>
    <row r="773" spans="1:22" ht="127.5">
      <c r="A773" s="10" t="s">
        <v>187</v>
      </c>
      <c r="B773" s="11" t="str">
        <f>IFERROR(VLOOKUP(A773,Systems!A:B,2,FALSE),"Various")</f>
        <v>Piping common</v>
      </c>
      <c r="C773" s="11" t="s">
        <v>49</v>
      </c>
      <c r="D773" s="11"/>
      <c r="E773" s="11"/>
      <c r="F773" s="24" t="s">
        <v>1064</v>
      </c>
      <c r="G773" s="38"/>
      <c r="H773" s="11"/>
      <c r="I773" s="11"/>
      <c r="J773" s="11"/>
      <c r="K773" s="11"/>
      <c r="L773" s="11"/>
      <c r="M773" s="11"/>
      <c r="N773" s="11"/>
      <c r="O773" s="11"/>
      <c r="P773" s="11" t="s">
        <v>298</v>
      </c>
      <c r="Q773" s="11"/>
      <c r="R773" s="11"/>
      <c r="S773" s="24" t="s">
        <v>30</v>
      </c>
      <c r="T773" s="24"/>
      <c r="U773" s="24" t="str">
        <f t="shared" si="20"/>
        <v>x</v>
      </c>
      <c r="V773" s="24"/>
    </row>
    <row r="774" spans="1:22" ht="267.75">
      <c r="A774" s="10" t="s">
        <v>187</v>
      </c>
      <c r="B774" s="11" t="str">
        <f>IFERROR(VLOOKUP(A774,Systems!A:B,2,FALSE),"Various")</f>
        <v>Piping common</v>
      </c>
      <c r="C774" s="11" t="s">
        <v>247</v>
      </c>
      <c r="D774" s="11"/>
      <c r="E774" s="11"/>
      <c r="F774" s="24" t="s">
        <v>1064</v>
      </c>
      <c r="G774" s="38"/>
      <c r="H774" s="11"/>
      <c r="I774" s="11"/>
      <c r="J774" s="11"/>
      <c r="K774" s="11"/>
      <c r="L774" s="11"/>
      <c r="M774" s="11"/>
      <c r="N774" s="11"/>
      <c r="O774" s="11"/>
      <c r="P774" s="11" t="s">
        <v>299</v>
      </c>
      <c r="Q774" s="11"/>
      <c r="R774" s="11"/>
      <c r="S774" s="24" t="s">
        <v>30</v>
      </c>
      <c r="T774" s="24"/>
      <c r="U774" s="24" t="str">
        <f t="shared" si="20"/>
        <v>x</v>
      </c>
      <c r="V774" s="24"/>
    </row>
    <row r="775" spans="1:22" ht="102">
      <c r="A775" s="10" t="s">
        <v>187</v>
      </c>
      <c r="B775" s="11" t="str">
        <f>IFERROR(VLOOKUP(A775,Systems!A:B,2,FALSE),"Various")</f>
        <v>Piping common</v>
      </c>
      <c r="C775" s="11" t="s">
        <v>46</v>
      </c>
      <c r="D775" s="11"/>
      <c r="E775" s="11"/>
      <c r="F775" s="24" t="s">
        <v>1064</v>
      </c>
      <c r="G775" s="38"/>
      <c r="H775" s="11"/>
      <c r="I775" s="11"/>
      <c r="J775" s="11"/>
      <c r="K775" s="11"/>
      <c r="L775" s="11"/>
      <c r="M775" s="11"/>
      <c r="N775" s="11"/>
      <c r="O775" s="11"/>
      <c r="P775" s="11" t="s">
        <v>305</v>
      </c>
      <c r="Q775" s="11"/>
      <c r="R775" s="11"/>
      <c r="S775" s="24" t="s">
        <v>30</v>
      </c>
      <c r="T775" s="24"/>
      <c r="U775" s="24" t="str">
        <f t="shared" si="20"/>
        <v>x</v>
      </c>
      <c r="V775" s="24"/>
    </row>
    <row r="776" spans="1:22" ht="127.5">
      <c r="A776" s="10" t="s">
        <v>187</v>
      </c>
      <c r="B776" s="11" t="str">
        <f>IFERROR(VLOOKUP(A776,Systems!A:B,2,FALSE),"Various")</f>
        <v>Piping common</v>
      </c>
      <c r="C776" s="11" t="s">
        <v>45</v>
      </c>
      <c r="D776" s="11"/>
      <c r="E776" s="11"/>
      <c r="F776" s="24" t="s">
        <v>1064</v>
      </c>
      <c r="G776" s="38"/>
      <c r="H776" s="11"/>
      <c r="I776" s="11"/>
      <c r="J776" s="11"/>
      <c r="K776" s="11"/>
      <c r="L776" s="11"/>
      <c r="M776" s="11"/>
      <c r="N776" s="11"/>
      <c r="O776" s="11"/>
      <c r="P776" s="11" t="s">
        <v>248</v>
      </c>
      <c r="Q776" s="11"/>
      <c r="R776" s="11"/>
      <c r="S776" s="24" t="s">
        <v>30</v>
      </c>
      <c r="T776" s="24"/>
      <c r="U776" s="24" t="str">
        <f t="shared" si="20"/>
        <v>x</v>
      </c>
      <c r="V776" s="24"/>
    </row>
    <row r="777" spans="1:22" ht="140.25">
      <c r="A777" s="10" t="s">
        <v>187</v>
      </c>
      <c r="B777" s="11" t="str">
        <f>IFERROR(VLOOKUP(A777,Systems!A:B,2,FALSE),"Various")</f>
        <v>Piping common</v>
      </c>
      <c r="C777" s="11" t="s">
        <v>44</v>
      </c>
      <c r="D777" s="11"/>
      <c r="E777" s="11"/>
      <c r="F777" s="24" t="s">
        <v>1064</v>
      </c>
      <c r="G777" s="38"/>
      <c r="H777" s="11"/>
      <c r="I777" s="11"/>
      <c r="J777" s="11"/>
      <c r="K777" s="11"/>
      <c r="L777" s="11"/>
      <c r="M777" s="11"/>
      <c r="N777" s="11"/>
      <c r="O777" s="11"/>
      <c r="P777" s="11" t="s">
        <v>306</v>
      </c>
      <c r="Q777" s="11"/>
      <c r="R777" s="11"/>
      <c r="S777" s="24" t="s">
        <v>30</v>
      </c>
      <c r="T777" s="24"/>
      <c r="U777" s="24" t="str">
        <f t="shared" si="20"/>
        <v>x</v>
      </c>
      <c r="V777" s="24"/>
    </row>
    <row r="778" spans="1:22" ht="140.25">
      <c r="A778" s="10" t="s">
        <v>187</v>
      </c>
      <c r="B778" s="11" t="str">
        <f>IFERROR(VLOOKUP(A778,Systems!A:B,2,FALSE),"Various")</f>
        <v>Piping common</v>
      </c>
      <c r="C778" s="11" t="s">
        <v>43</v>
      </c>
      <c r="D778" s="11"/>
      <c r="E778" s="11"/>
      <c r="F778" s="24" t="s">
        <v>1064</v>
      </c>
      <c r="G778" s="38"/>
      <c r="H778" s="11"/>
      <c r="I778" s="11"/>
      <c r="J778" s="11"/>
      <c r="K778" s="11"/>
      <c r="L778" s="11"/>
      <c r="M778" s="11"/>
      <c r="N778" s="11"/>
      <c r="O778" s="11"/>
      <c r="P778" s="11" t="s">
        <v>307</v>
      </c>
      <c r="Q778" s="11"/>
      <c r="R778" s="11"/>
      <c r="S778" s="24" t="s">
        <v>30</v>
      </c>
      <c r="T778" s="24"/>
      <c r="U778" s="24" t="str">
        <f t="shared" si="20"/>
        <v>x</v>
      </c>
      <c r="V778" s="24"/>
    </row>
    <row r="779" spans="1:22" ht="318.75">
      <c r="A779" s="10" t="s">
        <v>187</v>
      </c>
      <c r="B779" s="11" t="str">
        <f>IFERROR(VLOOKUP(A779,Systems!A:B,2,FALSE),"Various")</f>
        <v>Piping common</v>
      </c>
      <c r="C779" s="11" t="s">
        <v>43</v>
      </c>
      <c r="D779" s="11"/>
      <c r="E779" s="11"/>
      <c r="F779" s="24" t="s">
        <v>1064</v>
      </c>
      <c r="G779" s="38"/>
      <c r="H779" s="11"/>
      <c r="I779" s="11"/>
      <c r="J779" s="11"/>
      <c r="K779" s="11"/>
      <c r="L779" s="11"/>
      <c r="M779" s="11"/>
      <c r="N779" s="11"/>
      <c r="O779" s="11"/>
      <c r="P779" s="11" t="s">
        <v>308</v>
      </c>
      <c r="Q779" s="11"/>
      <c r="R779" s="11"/>
      <c r="S779" s="24" t="s">
        <v>30</v>
      </c>
      <c r="T779" s="24"/>
      <c r="U779" s="24" t="str">
        <f t="shared" si="20"/>
        <v>x</v>
      </c>
      <c r="V779" s="24"/>
    </row>
    <row r="780" spans="1:22" ht="51">
      <c r="A780" s="10" t="s">
        <v>187</v>
      </c>
      <c r="B780" s="11" t="str">
        <f>IFERROR(VLOOKUP(A780,Systems!A:B,2,FALSE),"Various")</f>
        <v>Piping common</v>
      </c>
      <c r="C780" s="11" t="s">
        <v>43</v>
      </c>
      <c r="D780" s="11"/>
      <c r="E780" s="11"/>
      <c r="F780" s="24" t="s">
        <v>1064</v>
      </c>
      <c r="G780" s="38"/>
      <c r="H780" s="11"/>
      <c r="I780" s="11"/>
      <c r="J780" s="11"/>
      <c r="K780" s="11"/>
      <c r="L780" s="11"/>
      <c r="M780" s="11"/>
      <c r="N780" s="11"/>
      <c r="O780" s="11"/>
      <c r="P780" s="11" t="s">
        <v>309</v>
      </c>
      <c r="Q780" s="11"/>
      <c r="R780" s="11"/>
      <c r="S780" s="24" t="s">
        <v>30</v>
      </c>
      <c r="T780" s="24"/>
      <c r="U780" s="24" t="str">
        <f t="shared" si="20"/>
        <v>x</v>
      </c>
      <c r="V780" s="24"/>
    </row>
    <row r="781" spans="1:22" ht="76.5">
      <c r="A781" s="10" t="s">
        <v>187</v>
      </c>
      <c r="B781" s="11" t="str">
        <f>IFERROR(VLOOKUP(A781,Systems!A:B,2,FALSE),"Various")</f>
        <v>Piping common</v>
      </c>
      <c r="C781" s="11" t="s">
        <v>312</v>
      </c>
      <c r="D781" s="11"/>
      <c r="E781" s="11"/>
      <c r="F781" s="24" t="s">
        <v>1064</v>
      </c>
      <c r="G781" s="38"/>
      <c r="H781" s="11"/>
      <c r="I781" s="11"/>
      <c r="J781" s="11"/>
      <c r="K781" s="11"/>
      <c r="L781" s="11"/>
      <c r="M781" s="11"/>
      <c r="N781" s="11"/>
      <c r="O781" s="11"/>
      <c r="P781" s="11" t="s">
        <v>310</v>
      </c>
      <c r="Q781" s="11"/>
      <c r="R781" s="11"/>
      <c r="S781" s="24" t="s">
        <v>30</v>
      </c>
      <c r="T781" s="24"/>
      <c r="U781" s="24"/>
      <c r="V781" s="24"/>
    </row>
    <row r="782" spans="1:22" ht="89.25">
      <c r="A782" s="10" t="s">
        <v>187</v>
      </c>
      <c r="B782" s="11" t="str">
        <f>IFERROR(VLOOKUP(A782,Systems!A:B,2,FALSE),"Various")</f>
        <v>Piping common</v>
      </c>
      <c r="C782" s="11" t="s">
        <v>81</v>
      </c>
      <c r="D782" s="11"/>
      <c r="E782" s="11"/>
      <c r="F782" s="24" t="s">
        <v>1064</v>
      </c>
      <c r="G782" s="38"/>
      <c r="H782" s="11"/>
      <c r="I782" s="11"/>
      <c r="J782" s="11"/>
      <c r="K782" s="11"/>
      <c r="L782" s="11"/>
      <c r="M782" s="11" t="s">
        <v>313</v>
      </c>
      <c r="N782" s="11"/>
      <c r="O782" s="11"/>
      <c r="P782" s="11"/>
      <c r="Q782" s="11"/>
      <c r="R782" s="11"/>
      <c r="S782" s="24" t="s">
        <v>30</v>
      </c>
      <c r="T782" s="24"/>
      <c r="U782" s="24"/>
      <c r="V782" s="24"/>
    </row>
    <row r="783" spans="1:22" ht="25.5">
      <c r="A783" s="10" t="s">
        <v>187</v>
      </c>
      <c r="B783" s="11" t="str">
        <f>IFERROR(VLOOKUP(A783,Systems!A:B,2,FALSE),"Various")</f>
        <v>Piping common</v>
      </c>
      <c r="C783" s="11" t="s">
        <v>318</v>
      </c>
      <c r="D783" s="11"/>
      <c r="E783" s="11"/>
      <c r="F783" s="24" t="s">
        <v>1064</v>
      </c>
      <c r="G783" s="38"/>
      <c r="H783" s="11"/>
      <c r="I783" s="11"/>
      <c r="J783" s="11"/>
      <c r="K783" s="11"/>
      <c r="L783" s="11"/>
      <c r="M783" s="11" t="s">
        <v>323</v>
      </c>
      <c r="N783" s="11"/>
      <c r="O783" s="11"/>
      <c r="P783" s="11"/>
      <c r="Q783" s="11"/>
      <c r="R783" s="11"/>
      <c r="S783" s="24" t="s">
        <v>30</v>
      </c>
      <c r="T783" s="24"/>
      <c r="U783" s="24"/>
      <c r="V783" s="24"/>
    </row>
    <row r="784" spans="1:22" ht="76.5">
      <c r="A784" s="10" t="s">
        <v>187</v>
      </c>
      <c r="B784" s="11" t="str">
        <f>IFERROR(VLOOKUP(A784,Systems!A:B,2,FALSE),"Various")</f>
        <v>Piping common</v>
      </c>
      <c r="C784" s="11" t="s">
        <v>317</v>
      </c>
      <c r="D784" s="11"/>
      <c r="E784" s="11"/>
      <c r="F784" s="24" t="s">
        <v>1064</v>
      </c>
      <c r="G784" s="38"/>
      <c r="H784" s="11"/>
      <c r="I784" s="11"/>
      <c r="J784" s="11"/>
      <c r="K784" s="11"/>
      <c r="L784" s="11"/>
      <c r="M784" s="11" t="s">
        <v>322</v>
      </c>
      <c r="N784" s="11"/>
      <c r="O784" s="11"/>
      <c r="P784" s="11"/>
      <c r="Q784" s="11"/>
      <c r="R784" s="11"/>
      <c r="S784" s="24" t="s">
        <v>30</v>
      </c>
      <c r="T784" s="24" t="s">
        <v>30</v>
      </c>
      <c r="U784" s="24" t="str">
        <f>IF(OR(NOT(H784=""),NOT(M784="")),"","x")</f>
        <v/>
      </c>
      <c r="V784" s="24"/>
    </row>
    <row r="785" spans="1:22" ht="38.25">
      <c r="A785" s="10" t="s">
        <v>187</v>
      </c>
      <c r="B785" s="11" t="str">
        <f>IFERROR(VLOOKUP(A785,Systems!A:B,2,FALSE),"Various")</f>
        <v>Piping common</v>
      </c>
      <c r="C785" s="11" t="s">
        <v>315</v>
      </c>
      <c r="D785" s="11"/>
      <c r="E785" s="11"/>
      <c r="F785" s="24" t="s">
        <v>1064</v>
      </c>
      <c r="G785" s="38"/>
      <c r="H785" s="11"/>
      <c r="I785" s="11"/>
      <c r="J785" s="11"/>
      <c r="K785" s="11"/>
      <c r="L785" s="11"/>
      <c r="M785" s="11" t="s">
        <v>320</v>
      </c>
      <c r="N785" s="11"/>
      <c r="O785" s="11"/>
      <c r="P785" s="11"/>
      <c r="Q785" s="11"/>
      <c r="R785" s="11"/>
      <c r="S785" s="24" t="s">
        <v>30</v>
      </c>
      <c r="T785" s="24"/>
      <c r="U785" s="24"/>
      <c r="V785" s="24"/>
    </row>
    <row r="786" spans="1:22" ht="25.5">
      <c r="A786" s="10" t="s">
        <v>187</v>
      </c>
      <c r="B786" s="11" t="str">
        <f>IFERROR(VLOOKUP(A786,Systems!A:B,2,FALSE),"Various")</f>
        <v>Piping common</v>
      </c>
      <c r="C786" s="11" t="s">
        <v>314</v>
      </c>
      <c r="D786" s="11"/>
      <c r="E786" s="11"/>
      <c r="F786" s="24" t="s">
        <v>1064</v>
      </c>
      <c r="G786" s="38"/>
      <c r="H786" s="11"/>
      <c r="I786" s="11"/>
      <c r="J786" s="11"/>
      <c r="K786" s="11"/>
      <c r="L786" s="11"/>
      <c r="M786" s="11" t="s">
        <v>319</v>
      </c>
      <c r="N786" s="11"/>
      <c r="O786" s="11"/>
      <c r="P786" s="11"/>
      <c r="Q786" s="11"/>
      <c r="R786" s="11"/>
      <c r="S786" s="24" t="s">
        <v>30</v>
      </c>
      <c r="T786" s="24"/>
      <c r="U786" s="24"/>
      <c r="V786" s="24"/>
    </row>
    <row r="787" spans="1:22" ht="51">
      <c r="A787" s="10" t="s">
        <v>187</v>
      </c>
      <c r="B787" s="11" t="str">
        <f>IFERROR(VLOOKUP(A787,Systems!A:B,2,FALSE),"Various")</f>
        <v>Piping common</v>
      </c>
      <c r="C787" s="11" t="s">
        <v>316</v>
      </c>
      <c r="D787" s="11"/>
      <c r="E787" s="11"/>
      <c r="F787" s="24" t="s">
        <v>1064</v>
      </c>
      <c r="G787" s="38"/>
      <c r="H787" s="11"/>
      <c r="I787" s="11"/>
      <c r="J787" s="11"/>
      <c r="K787" s="11"/>
      <c r="L787" s="11"/>
      <c r="M787" s="11" t="s">
        <v>321</v>
      </c>
      <c r="N787" s="11"/>
      <c r="O787" s="11"/>
      <c r="P787" s="11"/>
      <c r="Q787" s="11"/>
      <c r="R787" s="11"/>
      <c r="S787" s="24" t="s">
        <v>1305</v>
      </c>
      <c r="T787" s="24"/>
      <c r="U787" s="24"/>
      <c r="V787" s="24"/>
    </row>
    <row r="788" spans="1:22" ht="76.5">
      <c r="A788" s="10" t="s">
        <v>187</v>
      </c>
      <c r="B788" s="11" t="str">
        <f>IFERROR(VLOOKUP(A788,Systems!A:B,2,FALSE),"Various")</f>
        <v>Piping common</v>
      </c>
      <c r="C788" s="11" t="s">
        <v>100</v>
      </c>
      <c r="D788" s="11"/>
      <c r="E788" s="11"/>
      <c r="F788" s="24" t="s">
        <v>1064</v>
      </c>
      <c r="G788" s="38"/>
      <c r="H788" s="11"/>
      <c r="I788" s="11"/>
      <c r="J788" s="11"/>
      <c r="K788" s="11"/>
      <c r="L788" s="11"/>
      <c r="M788" s="11" t="s">
        <v>324</v>
      </c>
      <c r="N788" s="11"/>
      <c r="O788" s="11"/>
      <c r="P788" s="11"/>
      <c r="Q788" s="11"/>
      <c r="R788" s="11"/>
      <c r="S788" s="24" t="s">
        <v>1305</v>
      </c>
      <c r="T788" s="24"/>
      <c r="U788" s="24"/>
      <c r="V788" s="24"/>
    </row>
    <row r="789" spans="1:22" ht="51">
      <c r="A789" s="10" t="s">
        <v>187</v>
      </c>
      <c r="B789" s="11" t="str">
        <f>IFERROR(VLOOKUP(A789,Systems!A:B,2,FALSE),"Various")</f>
        <v>Piping common</v>
      </c>
      <c r="C789" s="11" t="s">
        <v>103</v>
      </c>
      <c r="D789" s="11"/>
      <c r="E789" s="11"/>
      <c r="F789" s="24" t="s">
        <v>1064</v>
      </c>
      <c r="G789" s="38"/>
      <c r="H789" s="11"/>
      <c r="I789" s="11"/>
      <c r="J789" s="11"/>
      <c r="K789" s="11"/>
      <c r="L789" s="11"/>
      <c r="M789" s="11" t="s">
        <v>329</v>
      </c>
      <c r="N789" s="11"/>
      <c r="O789" s="11"/>
      <c r="P789" s="11"/>
      <c r="Q789" s="11"/>
      <c r="R789" s="11"/>
      <c r="S789" s="24" t="s">
        <v>1305</v>
      </c>
      <c r="T789" s="24"/>
      <c r="U789" s="24"/>
      <c r="V789" s="24"/>
    </row>
    <row r="790" spans="1:22" ht="63.75">
      <c r="A790" s="10" t="s">
        <v>187</v>
      </c>
      <c r="B790" s="11" t="str">
        <f>IFERROR(VLOOKUP(A790,Systems!A:B,2,FALSE),"Various")</f>
        <v>Piping common</v>
      </c>
      <c r="C790" s="11" t="s">
        <v>103</v>
      </c>
      <c r="D790" s="11"/>
      <c r="E790" s="11"/>
      <c r="F790" s="24" t="s">
        <v>1064</v>
      </c>
      <c r="G790" s="38"/>
      <c r="H790" s="11"/>
      <c r="I790" s="11"/>
      <c r="J790" s="11"/>
      <c r="K790" s="11"/>
      <c r="L790" s="11"/>
      <c r="M790" s="11" t="s">
        <v>327</v>
      </c>
      <c r="N790" s="11"/>
      <c r="O790" s="11"/>
      <c r="P790" s="11"/>
      <c r="Q790" s="11"/>
      <c r="R790" s="11"/>
      <c r="S790" s="24" t="s">
        <v>30</v>
      </c>
      <c r="T790" s="24"/>
      <c r="U790" s="24"/>
      <c r="V790" s="24" t="s">
        <v>30</v>
      </c>
    </row>
    <row r="791" spans="1:22" ht="76.5">
      <c r="A791" s="10" t="s">
        <v>187</v>
      </c>
      <c r="B791" s="11" t="str">
        <f>IFERROR(VLOOKUP(A791,Systems!A:B,2,FALSE),"Various")</f>
        <v>Piping common</v>
      </c>
      <c r="C791" s="11" t="s">
        <v>103</v>
      </c>
      <c r="D791" s="11"/>
      <c r="E791" s="11"/>
      <c r="F791" s="24" t="s">
        <v>1064</v>
      </c>
      <c r="G791" s="38"/>
      <c r="H791" s="11"/>
      <c r="I791" s="11"/>
      <c r="J791" s="11"/>
      <c r="K791" s="11"/>
      <c r="L791" s="11"/>
      <c r="M791" s="11" t="s">
        <v>328</v>
      </c>
      <c r="N791" s="11"/>
      <c r="O791" s="11"/>
      <c r="P791" s="11"/>
      <c r="Q791" s="11"/>
      <c r="R791" s="11"/>
      <c r="S791" s="24" t="s">
        <v>30</v>
      </c>
      <c r="T791" s="24"/>
      <c r="U791" s="24" t="str">
        <f>IF(OR(NOT(H791=""),NOT(M791="")),"","x")</f>
        <v/>
      </c>
      <c r="V791" s="24"/>
    </row>
    <row r="792" spans="1:22" ht="89.25">
      <c r="A792" s="10" t="s">
        <v>187</v>
      </c>
      <c r="B792" s="11" t="str">
        <f>IFERROR(VLOOKUP(A792,Systems!A:B,2,FALSE),"Various")</f>
        <v>Piping common</v>
      </c>
      <c r="C792" s="11" t="s">
        <v>103</v>
      </c>
      <c r="D792" s="11"/>
      <c r="E792" s="11"/>
      <c r="F792" s="24" t="s">
        <v>1064</v>
      </c>
      <c r="G792" s="38"/>
      <c r="H792" s="11"/>
      <c r="I792" s="11"/>
      <c r="J792" s="11"/>
      <c r="K792" s="11"/>
      <c r="L792" s="11"/>
      <c r="M792" s="11" t="s">
        <v>326</v>
      </c>
      <c r="N792" s="11"/>
      <c r="O792" s="11"/>
      <c r="P792" s="11"/>
      <c r="Q792" s="11"/>
      <c r="R792" s="11"/>
      <c r="S792" s="24" t="s">
        <v>30</v>
      </c>
      <c r="T792" s="24"/>
      <c r="U792" s="24" t="str">
        <f>IF(OR(NOT(H792=""),NOT(M792="")),"","x")</f>
        <v/>
      </c>
      <c r="V792" s="24"/>
    </row>
    <row r="793" spans="1:22" ht="102">
      <c r="A793" s="10" t="s">
        <v>187</v>
      </c>
      <c r="B793" s="11" t="str">
        <f>IFERROR(VLOOKUP(A793,Systems!A:B,2,FALSE),"Various")</f>
        <v>Piping common</v>
      </c>
      <c r="C793" s="11" t="s">
        <v>103</v>
      </c>
      <c r="D793" s="11"/>
      <c r="E793" s="11"/>
      <c r="F793" s="24" t="s">
        <v>1064</v>
      </c>
      <c r="G793" s="38"/>
      <c r="H793" s="11"/>
      <c r="I793" s="11"/>
      <c r="J793" s="11"/>
      <c r="K793" s="11"/>
      <c r="L793" s="11"/>
      <c r="M793" s="11" t="s">
        <v>325</v>
      </c>
      <c r="N793" s="11"/>
      <c r="O793" s="11"/>
      <c r="P793" s="11"/>
      <c r="Q793" s="11"/>
      <c r="R793" s="11"/>
      <c r="S793" s="24" t="s">
        <v>30</v>
      </c>
      <c r="T793" s="24"/>
      <c r="U793" s="24" t="str">
        <f>IF(OR(NOT(H793=""),NOT(M793="")),"","x")</f>
        <v/>
      </c>
      <c r="V793" s="24"/>
    </row>
    <row r="794" spans="1:22" ht="267.75">
      <c r="A794" s="10" t="s">
        <v>187</v>
      </c>
      <c r="B794" s="11" t="str">
        <f>IFERROR(VLOOKUP(A794,Systems!A:B,2,FALSE),"Various")</f>
        <v>Piping common</v>
      </c>
      <c r="C794" s="11" t="s">
        <v>186</v>
      </c>
      <c r="D794" s="11"/>
      <c r="E794" s="11"/>
      <c r="F794" s="24" t="s">
        <v>1064</v>
      </c>
      <c r="G794" s="38"/>
      <c r="H794" s="11"/>
      <c r="I794" s="11"/>
      <c r="J794" s="11"/>
      <c r="K794" s="11"/>
      <c r="L794" s="11"/>
      <c r="M794" s="11" t="s">
        <v>515</v>
      </c>
      <c r="N794" s="11"/>
      <c r="O794" s="11"/>
      <c r="P794" s="11"/>
      <c r="Q794" s="11"/>
      <c r="R794" s="11"/>
      <c r="S794" s="24" t="s">
        <v>30</v>
      </c>
      <c r="T794" s="24"/>
      <c r="U794" s="24" t="str">
        <f>IF(OR(NOT(H794=""),NOT(M794="")),"","x")</f>
        <v/>
      </c>
      <c r="V794" s="24"/>
    </row>
    <row r="795" spans="1:22" ht="165.75">
      <c r="A795" s="10" t="s">
        <v>187</v>
      </c>
      <c r="B795" s="11" t="str">
        <f>IFERROR(VLOOKUP(A795,Systems!A:B,2,FALSE),"Various")</f>
        <v>Piping common</v>
      </c>
      <c r="C795" s="11" t="s">
        <v>602</v>
      </c>
      <c r="D795" s="11"/>
      <c r="E795" s="11"/>
      <c r="F795" s="24" t="s">
        <v>1064</v>
      </c>
      <c r="G795" s="38"/>
      <c r="H795" s="11"/>
      <c r="I795" s="11"/>
      <c r="J795" s="11"/>
      <c r="K795" s="11"/>
      <c r="L795" s="11"/>
      <c r="M795" s="11" t="s">
        <v>603</v>
      </c>
      <c r="N795" s="11"/>
      <c r="O795" s="11"/>
      <c r="P795" s="11"/>
      <c r="Q795" s="11"/>
      <c r="R795" s="11"/>
      <c r="S795" s="24" t="s">
        <v>30</v>
      </c>
      <c r="T795" s="24"/>
      <c r="U795" s="24"/>
      <c r="V795" s="24"/>
    </row>
    <row r="796" spans="1:22" ht="408">
      <c r="A796" s="10" t="s">
        <v>187</v>
      </c>
      <c r="B796" s="11" t="str">
        <f>IFERROR(VLOOKUP(A796,Systems!A:B,2,FALSE),"Various")</f>
        <v>Piping common</v>
      </c>
      <c r="C796" s="11" t="s">
        <v>602</v>
      </c>
      <c r="D796" s="11"/>
      <c r="E796" s="11"/>
      <c r="F796" s="24" t="s">
        <v>1064</v>
      </c>
      <c r="G796" s="38"/>
      <c r="H796" s="11"/>
      <c r="I796" s="11"/>
      <c r="J796" s="11"/>
      <c r="K796" s="11"/>
      <c r="L796" s="11"/>
      <c r="M796" s="11" t="s">
        <v>604</v>
      </c>
      <c r="N796" s="11"/>
      <c r="O796" s="11"/>
      <c r="P796" s="11"/>
      <c r="Q796" s="11"/>
      <c r="R796" s="11"/>
      <c r="S796" s="24" t="s">
        <v>30</v>
      </c>
      <c r="T796" s="24"/>
      <c r="U796" s="24"/>
      <c r="V796" s="24"/>
    </row>
    <row r="797" spans="1:22" ht="408">
      <c r="A797" s="10" t="s">
        <v>187</v>
      </c>
      <c r="B797" s="11" t="str">
        <f>IFERROR(VLOOKUP(A797,Systems!A:B,2,FALSE),"Various")</f>
        <v>Piping common</v>
      </c>
      <c r="C797" s="11" t="s">
        <v>188</v>
      </c>
      <c r="D797" s="11"/>
      <c r="E797" s="11"/>
      <c r="F797" s="24" t="s">
        <v>1064</v>
      </c>
      <c r="G797" s="38"/>
      <c r="H797" s="11"/>
      <c r="I797" s="11"/>
      <c r="J797" s="11"/>
      <c r="K797" s="11"/>
      <c r="L797" s="11"/>
      <c r="M797" s="11" t="s">
        <v>190</v>
      </c>
      <c r="N797" s="11" t="s">
        <v>1433</v>
      </c>
      <c r="O797" s="11"/>
      <c r="P797" s="11"/>
      <c r="Q797" s="11"/>
      <c r="R797" s="11"/>
      <c r="S797" s="24" t="s">
        <v>30</v>
      </c>
      <c r="T797" s="24"/>
      <c r="U797" s="24"/>
      <c r="V797" s="24"/>
    </row>
    <row r="798" spans="1:22" ht="76.5">
      <c r="A798" s="10" t="s">
        <v>187</v>
      </c>
      <c r="B798" s="11" t="str">
        <f>IFERROR(VLOOKUP(A798,Systems!A:B,2,FALSE),"Various")</f>
        <v>Piping common</v>
      </c>
      <c r="C798" s="11" t="s">
        <v>774</v>
      </c>
      <c r="D798" s="11"/>
      <c r="E798" s="11"/>
      <c r="F798" s="24" t="s">
        <v>1064</v>
      </c>
      <c r="G798" s="38"/>
      <c r="H798" s="11"/>
      <c r="I798" s="11"/>
      <c r="J798" s="11"/>
      <c r="K798" s="11"/>
      <c r="L798" s="11"/>
      <c r="M798" s="11"/>
      <c r="N798" s="11"/>
      <c r="O798" s="11" t="s">
        <v>776</v>
      </c>
      <c r="P798" s="11"/>
      <c r="Q798" s="11"/>
      <c r="R798" s="11"/>
      <c r="S798" s="24" t="s">
        <v>30</v>
      </c>
      <c r="T798" s="24"/>
      <c r="U798" s="24"/>
      <c r="V798" s="24"/>
    </row>
    <row r="799" spans="1:22" ht="25.5">
      <c r="A799" s="10" t="s">
        <v>187</v>
      </c>
      <c r="B799" s="11" t="str">
        <f>IFERROR(VLOOKUP(A799,Systems!A:B,2,FALSE),"Various")</f>
        <v>Piping common</v>
      </c>
      <c r="C799" s="11" t="s">
        <v>774</v>
      </c>
      <c r="D799" s="11"/>
      <c r="E799" s="11"/>
      <c r="F799" s="24" t="s">
        <v>1064</v>
      </c>
      <c r="G799" s="38"/>
      <c r="H799" s="11"/>
      <c r="I799" s="11"/>
      <c r="J799" s="11"/>
      <c r="K799" s="11"/>
      <c r="L799" s="11"/>
      <c r="M799" s="11"/>
      <c r="N799" s="11"/>
      <c r="O799" s="11" t="s">
        <v>777</v>
      </c>
      <c r="P799" s="11"/>
      <c r="Q799" s="11"/>
      <c r="R799" s="11"/>
      <c r="S799" s="24" t="s">
        <v>30</v>
      </c>
      <c r="T799" s="24"/>
      <c r="U799" s="24"/>
      <c r="V799" s="24"/>
    </row>
    <row r="800" spans="1:22" ht="38.25">
      <c r="A800" s="10" t="s">
        <v>187</v>
      </c>
      <c r="B800" s="11" t="str">
        <f>IFERROR(VLOOKUP(A800,Systems!A:B,2,FALSE),"Various")</f>
        <v>Piping common</v>
      </c>
      <c r="C800" s="11" t="s">
        <v>774</v>
      </c>
      <c r="D800" s="11"/>
      <c r="E800" s="11"/>
      <c r="F800" s="24" t="s">
        <v>1064</v>
      </c>
      <c r="G800" s="38"/>
      <c r="H800" s="11"/>
      <c r="I800" s="11"/>
      <c r="J800" s="11"/>
      <c r="K800" s="11"/>
      <c r="L800" s="11"/>
      <c r="M800" s="11"/>
      <c r="N800" s="11"/>
      <c r="O800" s="11" t="s">
        <v>778</v>
      </c>
      <c r="P800" s="11"/>
      <c r="Q800" s="11"/>
      <c r="R800" s="11"/>
      <c r="S800" s="24" t="s">
        <v>30</v>
      </c>
      <c r="T800" s="24"/>
      <c r="U800" s="24"/>
      <c r="V800" s="24"/>
    </row>
    <row r="801" spans="1:22" ht="51">
      <c r="A801" s="10" t="s">
        <v>187</v>
      </c>
      <c r="B801" s="11" t="str">
        <f>IFERROR(VLOOKUP(A801,Systems!A:B,2,FALSE),"Various")</f>
        <v>Piping common</v>
      </c>
      <c r="C801" s="11" t="s">
        <v>774</v>
      </c>
      <c r="D801" s="11"/>
      <c r="E801" s="11"/>
      <c r="F801" s="24" t="s">
        <v>1064</v>
      </c>
      <c r="G801" s="38"/>
      <c r="H801" s="11"/>
      <c r="I801" s="11"/>
      <c r="J801" s="11"/>
      <c r="K801" s="11"/>
      <c r="L801" s="11"/>
      <c r="M801" s="11"/>
      <c r="N801" s="11"/>
      <c r="O801" s="11" t="s">
        <v>779</v>
      </c>
      <c r="P801" s="11"/>
      <c r="Q801" s="11"/>
      <c r="R801" s="11"/>
      <c r="S801" s="24" t="s">
        <v>1305</v>
      </c>
      <c r="T801" s="24"/>
      <c r="U801" s="24"/>
      <c r="V801" s="24"/>
    </row>
    <row r="802" spans="1:22" ht="25.5">
      <c r="A802" s="10" t="s">
        <v>224</v>
      </c>
      <c r="B802" s="11" t="str">
        <f>IFERROR(VLOOKUP(A802,Systems!A:B,2,FALSE),"Various")</f>
        <v>Bilge system</v>
      </c>
      <c r="C802" s="11" t="s">
        <v>241</v>
      </c>
      <c r="D802" s="11"/>
      <c r="E802" s="11"/>
      <c r="F802" s="24" t="s">
        <v>1064</v>
      </c>
      <c r="G802" s="38"/>
      <c r="H802" s="11"/>
      <c r="I802" s="11"/>
      <c r="J802" s="11"/>
      <c r="K802" s="11"/>
      <c r="L802" s="11"/>
      <c r="M802" s="11"/>
      <c r="N802" s="11"/>
      <c r="O802" s="11" t="s">
        <v>690</v>
      </c>
      <c r="P802" s="11"/>
      <c r="Q802" s="11"/>
      <c r="R802" s="11"/>
      <c r="S802" s="24" t="s">
        <v>30</v>
      </c>
      <c r="T802" s="24"/>
      <c r="U802" s="24"/>
      <c r="V802" s="24"/>
    </row>
    <row r="803" spans="1:22" ht="76.5">
      <c r="A803" s="10" t="s">
        <v>1095</v>
      </c>
      <c r="B803" s="11" t="str">
        <f>IFERROR(VLOOKUP(A803,Systems!A:B,2,FALSE),"Various")</f>
        <v>Various</v>
      </c>
      <c r="C803" s="11" t="s">
        <v>103</v>
      </c>
      <c r="D803" s="11"/>
      <c r="E803" s="11"/>
      <c r="F803" s="24" t="s">
        <v>1064</v>
      </c>
      <c r="G803" s="38"/>
      <c r="H803" s="11"/>
      <c r="I803" s="11"/>
      <c r="J803" s="11"/>
      <c r="K803" s="11"/>
      <c r="L803" s="11"/>
      <c r="M803" s="11" t="s">
        <v>516</v>
      </c>
      <c r="N803" s="11"/>
      <c r="O803" s="11"/>
      <c r="P803" s="11"/>
      <c r="Q803" s="11"/>
      <c r="R803" s="11"/>
      <c r="S803" s="24" t="s">
        <v>1305</v>
      </c>
      <c r="T803" s="24"/>
      <c r="U803" s="24"/>
      <c r="V803" s="24"/>
    </row>
    <row r="804" spans="1:22" ht="51">
      <c r="A804" s="10" t="s">
        <v>224</v>
      </c>
      <c r="B804" s="11" t="str">
        <f>IFERROR(VLOOKUP(A804,Systems!A:B,2,FALSE),"Various")</f>
        <v>Bilge system</v>
      </c>
      <c r="C804" s="11" t="s">
        <v>241</v>
      </c>
      <c r="D804" s="11"/>
      <c r="E804" s="11"/>
      <c r="F804" s="24" t="s">
        <v>1064</v>
      </c>
      <c r="G804" s="38"/>
      <c r="H804" s="11"/>
      <c r="I804" s="11"/>
      <c r="J804" s="11"/>
      <c r="K804" s="11"/>
      <c r="L804" s="11"/>
      <c r="M804" s="11"/>
      <c r="N804" s="11"/>
      <c r="O804" s="11" t="s">
        <v>691</v>
      </c>
      <c r="P804" s="11"/>
      <c r="Q804" s="11"/>
      <c r="R804" s="11"/>
      <c r="S804" s="24" t="s">
        <v>30</v>
      </c>
      <c r="T804" s="24" t="s">
        <v>30</v>
      </c>
      <c r="U804" s="24" t="str">
        <f>IF(OR(NOT(H804=""),NOT(M804="")),"","x")</f>
        <v>x</v>
      </c>
      <c r="V804" s="24"/>
    </row>
    <row r="805" spans="1:22" ht="76.5">
      <c r="A805" s="10" t="s">
        <v>285</v>
      </c>
      <c r="B805" s="11" t="str">
        <f>IFERROR(VLOOKUP(A805,Systems!A:B,2,FALSE),"Various")</f>
        <v>Various</v>
      </c>
      <c r="C805" s="11" t="s">
        <v>53</v>
      </c>
      <c r="D805" s="11"/>
      <c r="E805" s="11"/>
      <c r="F805" s="24" t="s">
        <v>1064</v>
      </c>
      <c r="G805" s="38"/>
      <c r="H805" s="11"/>
      <c r="I805" s="11"/>
      <c r="J805" s="11"/>
      <c r="K805" s="11"/>
      <c r="L805" s="11"/>
      <c r="M805" s="11"/>
      <c r="N805" s="11"/>
      <c r="O805" s="11"/>
      <c r="P805" s="11" t="s">
        <v>283</v>
      </c>
      <c r="Q805" s="11"/>
      <c r="R805" s="11"/>
      <c r="S805" s="24" t="s">
        <v>30</v>
      </c>
      <c r="T805" s="24"/>
      <c r="U805" s="24"/>
      <c r="V805" s="24"/>
    </row>
    <row r="806" spans="1:22" ht="63.75">
      <c r="A806" s="10" t="s">
        <v>224</v>
      </c>
      <c r="B806" s="11" t="str">
        <f>IFERROR(VLOOKUP(A806,Systems!A:B,2,FALSE),"Various")</f>
        <v>Bilge system</v>
      </c>
      <c r="C806" s="11" t="s">
        <v>241</v>
      </c>
      <c r="D806" s="11"/>
      <c r="E806" s="11"/>
      <c r="F806" s="24" t="s">
        <v>1064</v>
      </c>
      <c r="G806" s="38"/>
      <c r="H806" s="11"/>
      <c r="I806" s="11"/>
      <c r="J806" s="11"/>
      <c r="K806" s="11"/>
      <c r="L806" s="11"/>
      <c r="M806" s="11"/>
      <c r="N806" s="11"/>
      <c r="O806" s="11" t="s">
        <v>692</v>
      </c>
      <c r="P806" s="11"/>
      <c r="Q806" s="11"/>
      <c r="R806" s="11"/>
      <c r="S806" s="24" t="s">
        <v>30</v>
      </c>
      <c r="T806" s="24"/>
      <c r="U806" s="24"/>
      <c r="V806" s="24"/>
    </row>
    <row r="807" spans="1:22" ht="25.5">
      <c r="A807" s="10" t="s">
        <v>224</v>
      </c>
      <c r="B807" s="11" t="str">
        <f>IFERROR(VLOOKUP(A807,Systems!A:B,2,FALSE),"Various")</f>
        <v>Bilge system</v>
      </c>
      <c r="C807" s="11" t="s">
        <v>622</v>
      </c>
      <c r="D807" s="11"/>
      <c r="E807" s="11"/>
      <c r="F807" s="24" t="s">
        <v>1064</v>
      </c>
      <c r="G807" s="38"/>
      <c r="H807" s="11"/>
      <c r="I807" s="11"/>
      <c r="J807" s="11"/>
      <c r="K807" s="11"/>
      <c r="L807" s="11"/>
      <c r="M807" s="11"/>
      <c r="N807" s="11"/>
      <c r="O807" s="11" t="s">
        <v>727</v>
      </c>
      <c r="P807" s="11"/>
      <c r="Q807" s="11"/>
      <c r="R807" s="11"/>
      <c r="S807" s="24" t="s">
        <v>30</v>
      </c>
      <c r="T807" s="24"/>
      <c r="U807" s="24"/>
      <c r="V807" s="24"/>
    </row>
    <row r="808" spans="1:22" ht="114.75">
      <c r="A808" s="10" t="s">
        <v>224</v>
      </c>
      <c r="B808" s="11" t="str">
        <f>IFERROR(VLOOKUP(A808,Systems!A:B,2,FALSE),"Various")</f>
        <v>Bilge system</v>
      </c>
      <c r="C808" s="11" t="s">
        <v>623</v>
      </c>
      <c r="D808" s="11"/>
      <c r="E808" s="11"/>
      <c r="F808" s="24" t="s">
        <v>1064</v>
      </c>
      <c r="G808" s="38"/>
      <c r="H808" s="11"/>
      <c r="I808" s="11"/>
      <c r="J808" s="11"/>
      <c r="K808" s="11"/>
      <c r="L808" s="11"/>
      <c r="M808" s="11"/>
      <c r="N808" s="11"/>
      <c r="O808" s="11" t="s">
        <v>728</v>
      </c>
      <c r="P808" s="11"/>
      <c r="Q808" s="11"/>
      <c r="R808" s="11"/>
      <c r="S808" s="24" t="s">
        <v>30</v>
      </c>
      <c r="T808" s="24"/>
      <c r="U808" s="24"/>
      <c r="V808" s="24"/>
    </row>
    <row r="809" spans="1:22" ht="38.25">
      <c r="A809" s="10" t="s">
        <v>224</v>
      </c>
      <c r="B809" s="11" t="str">
        <f>IFERROR(VLOOKUP(A809,Systems!A:B,2,FALSE),"Various")</f>
        <v>Bilge system</v>
      </c>
      <c r="C809" s="11" t="s">
        <v>623</v>
      </c>
      <c r="D809" s="11"/>
      <c r="E809" s="11"/>
      <c r="F809" s="24" t="s">
        <v>1064</v>
      </c>
      <c r="G809" s="38"/>
      <c r="H809" s="11"/>
      <c r="I809" s="11"/>
      <c r="J809" s="11"/>
      <c r="K809" s="11"/>
      <c r="L809" s="11"/>
      <c r="M809" s="11"/>
      <c r="N809" s="11"/>
      <c r="O809" s="11" t="s">
        <v>729</v>
      </c>
      <c r="P809" s="11"/>
      <c r="Q809" s="11"/>
      <c r="R809" s="11"/>
      <c r="S809" s="24" t="s">
        <v>30</v>
      </c>
      <c r="T809" s="24"/>
      <c r="U809" s="24"/>
      <c r="V809" s="24"/>
    </row>
    <row r="810" spans="1:22" ht="38.25">
      <c r="A810" s="10" t="s">
        <v>224</v>
      </c>
      <c r="B810" s="11" t="str">
        <f>IFERROR(VLOOKUP(A810,Systems!A:B,2,FALSE),"Various")</f>
        <v>Bilge system</v>
      </c>
      <c r="C810" s="11" t="s">
        <v>624</v>
      </c>
      <c r="D810" s="11"/>
      <c r="E810" s="11"/>
      <c r="F810" s="24" t="s">
        <v>1064</v>
      </c>
      <c r="G810" s="38"/>
      <c r="H810" s="11"/>
      <c r="I810" s="11"/>
      <c r="J810" s="11"/>
      <c r="K810" s="11"/>
      <c r="L810" s="11"/>
      <c r="M810" s="11"/>
      <c r="N810" s="11"/>
      <c r="O810" s="11" t="s">
        <v>730</v>
      </c>
      <c r="P810" s="11"/>
      <c r="Q810" s="11"/>
      <c r="R810" s="11"/>
      <c r="S810" s="24" t="s">
        <v>1305</v>
      </c>
      <c r="T810" s="24"/>
      <c r="U810" s="24"/>
      <c r="V810" s="24"/>
    </row>
    <row r="811" spans="1:22" ht="25.5">
      <c r="A811" s="10" t="s">
        <v>224</v>
      </c>
      <c r="B811" s="11" t="str">
        <f>IFERROR(VLOOKUP(A811,Systems!A:B,2,FALSE),"Various")</f>
        <v>Bilge system</v>
      </c>
      <c r="C811" s="11" t="s">
        <v>625</v>
      </c>
      <c r="D811" s="11"/>
      <c r="E811" s="11"/>
      <c r="F811" s="24" t="s">
        <v>1064</v>
      </c>
      <c r="G811" s="38"/>
      <c r="H811" s="11"/>
      <c r="I811" s="11"/>
      <c r="J811" s="11"/>
      <c r="K811" s="11"/>
      <c r="L811" s="11"/>
      <c r="M811" s="11"/>
      <c r="N811" s="11"/>
      <c r="O811" s="11" t="s">
        <v>731</v>
      </c>
      <c r="P811" s="11"/>
      <c r="Q811" s="11"/>
      <c r="R811" s="11"/>
      <c r="S811" s="24" t="s">
        <v>1305</v>
      </c>
      <c r="T811" s="24"/>
      <c r="U811" s="24"/>
      <c r="V811" s="24"/>
    </row>
    <row r="812" spans="1:22" ht="51">
      <c r="A812" s="10" t="s">
        <v>224</v>
      </c>
      <c r="B812" s="11" t="str">
        <f>IFERROR(VLOOKUP(A812,Systems!A:B,2,FALSE),"Various")</f>
        <v>Bilge system</v>
      </c>
      <c r="C812" s="11" t="s">
        <v>626</v>
      </c>
      <c r="D812" s="11"/>
      <c r="E812" s="11"/>
      <c r="F812" s="24" t="s">
        <v>1064</v>
      </c>
      <c r="G812" s="38"/>
      <c r="H812" s="11"/>
      <c r="I812" s="11"/>
      <c r="J812" s="11"/>
      <c r="K812" s="11"/>
      <c r="L812" s="11"/>
      <c r="M812" s="11"/>
      <c r="N812" s="11"/>
      <c r="O812" s="11" t="s">
        <v>732</v>
      </c>
      <c r="P812" s="11"/>
      <c r="Q812" s="11"/>
      <c r="R812" s="11"/>
      <c r="S812" s="24" t="s">
        <v>30</v>
      </c>
      <c r="T812" s="24"/>
      <c r="U812" s="24"/>
      <c r="V812" s="24"/>
    </row>
    <row r="813" spans="1:22" ht="216.75">
      <c r="A813" s="10" t="s">
        <v>224</v>
      </c>
      <c r="B813" s="11" t="str">
        <f>IFERROR(VLOOKUP(A813,Systems!A:B,2,FALSE),"Various")</f>
        <v>Bilge system</v>
      </c>
      <c r="C813" s="11" t="s">
        <v>38</v>
      </c>
      <c r="D813" s="11"/>
      <c r="E813" s="11"/>
      <c r="F813" s="24" t="s">
        <v>1064</v>
      </c>
      <c r="G813" s="38"/>
      <c r="H813" s="11"/>
      <c r="I813" s="11"/>
      <c r="J813" s="11"/>
      <c r="K813" s="11"/>
      <c r="L813" s="11"/>
      <c r="M813" s="11"/>
      <c r="N813" s="11"/>
      <c r="O813" s="11" t="s">
        <v>666</v>
      </c>
      <c r="P813" s="11"/>
      <c r="Q813" s="11"/>
      <c r="R813" s="11"/>
      <c r="S813" s="24" t="s">
        <v>30</v>
      </c>
      <c r="T813" s="24"/>
      <c r="U813" s="24"/>
      <c r="V813" s="24"/>
    </row>
    <row r="814" spans="1:22" ht="102">
      <c r="A814" s="10" t="s">
        <v>224</v>
      </c>
      <c r="B814" s="11" t="str">
        <f>IFERROR(VLOOKUP(A814,Systems!A:B,2,FALSE),"Various")</f>
        <v>Bilge system</v>
      </c>
      <c r="C814" s="11" t="s">
        <v>627</v>
      </c>
      <c r="D814" s="11"/>
      <c r="E814" s="11"/>
      <c r="F814" s="24" t="s">
        <v>1064</v>
      </c>
      <c r="G814" s="38"/>
      <c r="H814" s="11"/>
      <c r="I814" s="11"/>
      <c r="J814" s="11"/>
      <c r="K814" s="11"/>
      <c r="L814" s="11"/>
      <c r="M814" s="11"/>
      <c r="N814" s="11"/>
      <c r="O814" s="11" t="s">
        <v>733</v>
      </c>
      <c r="P814" s="11"/>
      <c r="Q814" s="11"/>
      <c r="R814" s="11"/>
      <c r="S814" s="24" t="s">
        <v>30</v>
      </c>
      <c r="T814" s="24"/>
      <c r="U814" s="24"/>
      <c r="V814" s="24"/>
    </row>
    <row r="815" spans="1:22" ht="114.75">
      <c r="A815" s="10" t="s">
        <v>224</v>
      </c>
      <c r="B815" s="11" t="str">
        <f>IFERROR(VLOOKUP(A815,Systems!A:B,2,FALSE),"Various")</f>
        <v>Bilge system</v>
      </c>
      <c r="C815" s="11" t="s">
        <v>627</v>
      </c>
      <c r="D815" s="11"/>
      <c r="E815" s="11"/>
      <c r="F815" s="24" t="s">
        <v>1064</v>
      </c>
      <c r="G815" s="38"/>
      <c r="H815" s="11"/>
      <c r="I815" s="11"/>
      <c r="J815" s="11"/>
      <c r="K815" s="11"/>
      <c r="L815" s="11"/>
      <c r="M815" s="11"/>
      <c r="N815" s="11"/>
      <c r="O815" s="11" t="s">
        <v>734</v>
      </c>
      <c r="P815" s="11"/>
      <c r="Q815" s="11"/>
      <c r="R815" s="11"/>
      <c r="S815" s="24" t="s">
        <v>30</v>
      </c>
      <c r="T815" s="24"/>
      <c r="U815" s="24"/>
      <c r="V815" s="24"/>
    </row>
    <row r="816" spans="1:22" ht="153">
      <c r="A816" s="10" t="s">
        <v>224</v>
      </c>
      <c r="B816" s="11" t="str">
        <f>IFERROR(VLOOKUP(A816,Systems!A:B,2,FALSE),"Various")</f>
        <v>Bilge system</v>
      </c>
      <c r="C816" s="11" t="s">
        <v>38</v>
      </c>
      <c r="D816" s="11"/>
      <c r="E816" s="11"/>
      <c r="F816" s="24" t="s">
        <v>1064</v>
      </c>
      <c r="G816" s="38"/>
      <c r="H816" s="11"/>
      <c r="I816" s="11"/>
      <c r="J816" s="11"/>
      <c r="K816" s="11"/>
      <c r="L816" s="11"/>
      <c r="M816" s="11"/>
      <c r="N816" s="11"/>
      <c r="O816" s="11" t="s">
        <v>667</v>
      </c>
      <c r="P816" s="11"/>
      <c r="Q816" s="11"/>
      <c r="R816" s="11"/>
      <c r="S816" s="24" t="s">
        <v>30</v>
      </c>
      <c r="T816" s="24"/>
      <c r="U816" s="24"/>
      <c r="V816" s="24"/>
    </row>
    <row r="817" spans="1:22" ht="63.75">
      <c r="A817" s="10" t="s">
        <v>224</v>
      </c>
      <c r="B817" s="11" t="str">
        <f>IFERROR(VLOOKUP(A817,Systems!A:B,2,FALSE),"Various")</f>
        <v>Bilge system</v>
      </c>
      <c r="C817" s="11" t="s">
        <v>627</v>
      </c>
      <c r="D817" s="11"/>
      <c r="E817" s="11"/>
      <c r="F817" s="24" t="s">
        <v>1064</v>
      </c>
      <c r="G817" s="38"/>
      <c r="H817" s="11"/>
      <c r="I817" s="11"/>
      <c r="J817" s="11"/>
      <c r="K817" s="11"/>
      <c r="L817" s="11"/>
      <c r="M817" s="11"/>
      <c r="N817" s="11"/>
      <c r="O817" s="11" t="s">
        <v>735</v>
      </c>
      <c r="P817" s="11"/>
      <c r="Q817" s="11"/>
      <c r="R817" s="11"/>
      <c r="S817" s="24" t="s">
        <v>30</v>
      </c>
      <c r="T817" s="24"/>
      <c r="U817" s="24"/>
      <c r="V817" s="24"/>
    </row>
    <row r="818" spans="1:22" ht="63.75">
      <c r="A818" s="10" t="s">
        <v>224</v>
      </c>
      <c r="B818" s="11" t="str">
        <f>IFERROR(VLOOKUP(A818,Systems!A:B,2,FALSE),"Various")</f>
        <v>Bilge system</v>
      </c>
      <c r="C818" s="11" t="s">
        <v>627</v>
      </c>
      <c r="D818" s="11"/>
      <c r="E818" s="11"/>
      <c r="F818" s="24" t="s">
        <v>1064</v>
      </c>
      <c r="G818" s="38"/>
      <c r="H818" s="11"/>
      <c r="I818" s="11"/>
      <c r="J818" s="11"/>
      <c r="K818" s="11"/>
      <c r="L818" s="11"/>
      <c r="M818" s="11"/>
      <c r="N818" s="11"/>
      <c r="O818" s="11" t="s">
        <v>736</v>
      </c>
      <c r="P818" s="11"/>
      <c r="Q818" s="11"/>
      <c r="R818" s="11"/>
      <c r="S818" s="24"/>
      <c r="T818" s="24"/>
      <c r="U818" s="24" t="str">
        <f>IF(OR(NOT(H818=""),NOT(M818="")),"","x")</f>
        <v>x</v>
      </c>
      <c r="V818" s="24"/>
    </row>
    <row r="819" spans="1:22" ht="51">
      <c r="A819" s="10" t="s">
        <v>224</v>
      </c>
      <c r="B819" s="11" t="str">
        <f>IFERROR(VLOOKUP(A819,Systems!A:B,2,FALSE),"Various")</f>
        <v>Bilge system</v>
      </c>
      <c r="C819" s="11" t="s">
        <v>628</v>
      </c>
      <c r="D819" s="11"/>
      <c r="E819" s="11"/>
      <c r="F819" s="24" t="s">
        <v>1064</v>
      </c>
      <c r="G819" s="38"/>
      <c r="H819" s="11"/>
      <c r="I819" s="11"/>
      <c r="J819" s="11"/>
      <c r="K819" s="11"/>
      <c r="L819" s="11"/>
      <c r="M819" s="11"/>
      <c r="N819" s="11"/>
      <c r="O819" s="11" t="s">
        <v>737</v>
      </c>
      <c r="P819" s="11"/>
      <c r="Q819" s="11"/>
      <c r="R819" s="11"/>
      <c r="S819" s="24" t="s">
        <v>30</v>
      </c>
      <c r="T819" s="24" t="s">
        <v>30</v>
      </c>
      <c r="U819" s="24" t="str">
        <f>IF(OR(NOT(H819=""),NOT(M819="")),"","x")</f>
        <v>x</v>
      </c>
      <c r="V819" s="24"/>
    </row>
    <row r="820" spans="1:22" ht="25.5">
      <c r="A820" s="10" t="s">
        <v>224</v>
      </c>
      <c r="B820" s="11" t="str">
        <f>IFERROR(VLOOKUP(A820,Systems!A:B,2,FALSE),"Various")</f>
        <v>Bilge system</v>
      </c>
      <c r="C820" s="11" t="s">
        <v>629</v>
      </c>
      <c r="D820" s="11"/>
      <c r="E820" s="11"/>
      <c r="F820" s="24" t="s">
        <v>1064</v>
      </c>
      <c r="G820" s="38"/>
      <c r="H820" s="11"/>
      <c r="I820" s="11"/>
      <c r="J820" s="11"/>
      <c r="K820" s="11"/>
      <c r="L820" s="11"/>
      <c r="M820" s="11"/>
      <c r="N820" s="11"/>
      <c r="O820" s="11" t="s">
        <v>738</v>
      </c>
      <c r="P820" s="11"/>
      <c r="Q820" s="11"/>
      <c r="R820" s="11"/>
      <c r="S820" s="24" t="s">
        <v>1305</v>
      </c>
      <c r="T820" s="24"/>
      <c r="U820" s="24"/>
      <c r="V820" s="24"/>
    </row>
    <row r="821" spans="1:22" ht="51">
      <c r="A821" s="10" t="s">
        <v>224</v>
      </c>
      <c r="B821" s="11" t="str">
        <f>IFERROR(VLOOKUP(A821,Systems!A:B,2,FALSE),"Various")</f>
        <v>Bilge system</v>
      </c>
      <c r="C821" s="11" t="s">
        <v>630</v>
      </c>
      <c r="D821" s="11"/>
      <c r="E821" s="11"/>
      <c r="F821" s="24" t="s">
        <v>1064</v>
      </c>
      <c r="G821" s="38"/>
      <c r="H821" s="11"/>
      <c r="I821" s="11"/>
      <c r="J821" s="11"/>
      <c r="K821" s="11"/>
      <c r="L821" s="11"/>
      <c r="M821" s="11"/>
      <c r="N821" s="11"/>
      <c r="O821" s="11" t="s">
        <v>739</v>
      </c>
      <c r="P821" s="11"/>
      <c r="Q821" s="11"/>
      <c r="R821" s="11"/>
      <c r="S821" s="24" t="s">
        <v>30</v>
      </c>
      <c r="T821" s="24"/>
      <c r="U821" s="24" t="str">
        <f t="shared" ref="U821:U835" si="21">IF(OR(NOT(H821=""),NOT(M821="")),"","x")</f>
        <v>x</v>
      </c>
      <c r="V821" s="24"/>
    </row>
    <row r="822" spans="1:22" ht="25.5">
      <c r="A822" s="10" t="s">
        <v>224</v>
      </c>
      <c r="B822" s="11" t="str">
        <f>IFERROR(VLOOKUP(A822,Systems!A:B,2,FALSE),"Various")</f>
        <v>Bilge system</v>
      </c>
      <c r="C822" s="11" t="s">
        <v>631</v>
      </c>
      <c r="D822" s="11"/>
      <c r="E822" s="11"/>
      <c r="F822" s="24" t="s">
        <v>1064</v>
      </c>
      <c r="G822" s="38"/>
      <c r="H822" s="11"/>
      <c r="I822" s="11"/>
      <c r="J822" s="11"/>
      <c r="K822" s="11"/>
      <c r="L822" s="11"/>
      <c r="M822" s="11"/>
      <c r="N822" s="11"/>
      <c r="O822" s="11" t="s">
        <v>740</v>
      </c>
      <c r="P822" s="11"/>
      <c r="Q822" s="11"/>
      <c r="R822" s="11"/>
      <c r="S822" s="24" t="s">
        <v>30</v>
      </c>
      <c r="T822" s="24"/>
      <c r="U822" s="24" t="str">
        <f t="shared" si="21"/>
        <v>x</v>
      </c>
      <c r="V822" s="24"/>
    </row>
    <row r="823" spans="1:22" ht="38.25">
      <c r="A823" s="10" t="s">
        <v>224</v>
      </c>
      <c r="B823" s="11" t="str">
        <f>IFERROR(VLOOKUP(A823,Systems!A:B,2,FALSE),"Various")</f>
        <v>Bilge system</v>
      </c>
      <c r="C823" s="11" t="s">
        <v>632</v>
      </c>
      <c r="D823" s="11"/>
      <c r="E823" s="11"/>
      <c r="F823" s="24" t="s">
        <v>1064</v>
      </c>
      <c r="G823" s="38"/>
      <c r="H823" s="11"/>
      <c r="I823" s="11"/>
      <c r="J823" s="11"/>
      <c r="K823" s="11"/>
      <c r="L823" s="11"/>
      <c r="M823" s="11"/>
      <c r="N823" s="11"/>
      <c r="O823" s="11" t="s">
        <v>741</v>
      </c>
      <c r="P823" s="11"/>
      <c r="Q823" s="11"/>
      <c r="R823" s="11"/>
      <c r="S823" s="24" t="s">
        <v>30</v>
      </c>
      <c r="T823" s="24"/>
      <c r="U823" s="24" t="str">
        <f t="shared" si="21"/>
        <v>x</v>
      </c>
      <c r="V823" s="24"/>
    </row>
    <row r="824" spans="1:22" ht="25.5">
      <c r="A824" s="10" t="s">
        <v>224</v>
      </c>
      <c r="B824" s="11" t="str">
        <f>IFERROR(VLOOKUP(A824,Systems!A:B,2,FALSE),"Various")</f>
        <v>Bilge system</v>
      </c>
      <c r="C824" s="11" t="s">
        <v>633</v>
      </c>
      <c r="D824" s="11"/>
      <c r="E824" s="11"/>
      <c r="F824" s="24" t="s">
        <v>1064</v>
      </c>
      <c r="G824" s="38"/>
      <c r="H824" s="11"/>
      <c r="I824" s="11"/>
      <c r="J824" s="11"/>
      <c r="K824" s="11"/>
      <c r="L824" s="11"/>
      <c r="M824" s="11"/>
      <c r="N824" s="11"/>
      <c r="O824" s="11" t="s">
        <v>742</v>
      </c>
      <c r="P824" s="11"/>
      <c r="Q824" s="11"/>
      <c r="R824" s="11"/>
      <c r="S824" s="24" t="s">
        <v>30</v>
      </c>
      <c r="T824" s="24"/>
      <c r="U824" s="24" t="str">
        <f t="shared" si="21"/>
        <v>x</v>
      </c>
      <c r="V824" s="24"/>
    </row>
    <row r="825" spans="1:22" ht="38.25">
      <c r="A825" s="10" t="s">
        <v>224</v>
      </c>
      <c r="B825" s="11" t="str">
        <f>IFERROR(VLOOKUP(A825,Systems!A:B,2,FALSE),"Various")</f>
        <v>Bilge system</v>
      </c>
      <c r="C825" s="11" t="s">
        <v>634</v>
      </c>
      <c r="D825" s="11"/>
      <c r="E825" s="11"/>
      <c r="F825" s="24" t="s">
        <v>1064</v>
      </c>
      <c r="G825" s="38"/>
      <c r="H825" s="11"/>
      <c r="I825" s="11"/>
      <c r="J825" s="11"/>
      <c r="K825" s="11"/>
      <c r="L825" s="11"/>
      <c r="M825" s="11"/>
      <c r="N825" s="11"/>
      <c r="O825" s="11" t="s">
        <v>743</v>
      </c>
      <c r="P825" s="11"/>
      <c r="Q825" s="11"/>
      <c r="R825" s="11"/>
      <c r="S825" s="24" t="s">
        <v>30</v>
      </c>
      <c r="T825" s="24"/>
      <c r="U825" s="24" t="str">
        <f t="shared" si="21"/>
        <v>x</v>
      </c>
      <c r="V825" s="24"/>
    </row>
    <row r="826" spans="1:22" ht="25.5">
      <c r="A826" s="10" t="s">
        <v>224</v>
      </c>
      <c r="B826" s="11" t="str">
        <f>IFERROR(VLOOKUP(A826,Systems!A:B,2,FALSE),"Various")</f>
        <v>Bilge system</v>
      </c>
      <c r="C826" s="11" t="s">
        <v>635</v>
      </c>
      <c r="D826" s="11"/>
      <c r="E826" s="11"/>
      <c r="F826" s="24" t="s">
        <v>1064</v>
      </c>
      <c r="G826" s="38"/>
      <c r="H826" s="11"/>
      <c r="I826" s="11"/>
      <c r="J826" s="11"/>
      <c r="K826" s="11"/>
      <c r="L826" s="11"/>
      <c r="M826" s="11"/>
      <c r="N826" s="11"/>
      <c r="O826" s="11" t="s">
        <v>744</v>
      </c>
      <c r="P826" s="11"/>
      <c r="Q826" s="11"/>
      <c r="R826" s="11"/>
      <c r="S826" s="24" t="s">
        <v>30</v>
      </c>
      <c r="T826" s="24"/>
      <c r="U826" s="24" t="str">
        <f t="shared" si="21"/>
        <v>x</v>
      </c>
      <c r="V826" s="24"/>
    </row>
    <row r="827" spans="1:22" ht="51">
      <c r="A827" s="10" t="s">
        <v>224</v>
      </c>
      <c r="B827" s="11" t="str">
        <f>IFERROR(VLOOKUP(A827,Systems!A:B,2,FALSE),"Various")</f>
        <v>Bilge system</v>
      </c>
      <c r="C827" s="11" t="s">
        <v>634</v>
      </c>
      <c r="D827" s="11"/>
      <c r="E827" s="11"/>
      <c r="F827" s="24" t="s">
        <v>1064</v>
      </c>
      <c r="G827" s="38"/>
      <c r="H827" s="11"/>
      <c r="I827" s="11"/>
      <c r="J827" s="11"/>
      <c r="K827" s="11"/>
      <c r="L827" s="11"/>
      <c r="M827" s="11"/>
      <c r="N827" s="11"/>
      <c r="O827" s="11" t="s">
        <v>745</v>
      </c>
      <c r="P827" s="11"/>
      <c r="Q827" s="11"/>
      <c r="R827" s="11"/>
      <c r="S827" s="24" t="s">
        <v>30</v>
      </c>
      <c r="T827" s="24"/>
      <c r="U827" s="24" t="str">
        <f t="shared" si="21"/>
        <v>x</v>
      </c>
      <c r="V827" s="24"/>
    </row>
    <row r="828" spans="1:22" ht="25.5">
      <c r="A828" s="10" t="s">
        <v>224</v>
      </c>
      <c r="B828" s="11" t="str">
        <f>IFERROR(VLOOKUP(A828,Systems!A:B,2,FALSE),"Various")</f>
        <v>Bilge system</v>
      </c>
      <c r="C828" s="11" t="s">
        <v>633</v>
      </c>
      <c r="D828" s="11"/>
      <c r="E828" s="11"/>
      <c r="F828" s="24" t="s">
        <v>1064</v>
      </c>
      <c r="G828" s="38"/>
      <c r="H828" s="11"/>
      <c r="I828" s="11"/>
      <c r="J828" s="11"/>
      <c r="K828" s="11"/>
      <c r="L828" s="11"/>
      <c r="M828" s="11"/>
      <c r="N828" s="11"/>
      <c r="O828" s="11" t="s">
        <v>746</v>
      </c>
      <c r="P828" s="11"/>
      <c r="Q828" s="11"/>
      <c r="R828" s="11"/>
      <c r="S828" s="24" t="s">
        <v>30</v>
      </c>
      <c r="T828" s="24"/>
      <c r="U828" s="24" t="str">
        <f t="shared" si="21"/>
        <v>x</v>
      </c>
      <c r="V828" s="24"/>
    </row>
    <row r="829" spans="1:22" ht="38.25">
      <c r="A829" s="10" t="s">
        <v>224</v>
      </c>
      <c r="B829" s="11" t="str">
        <f>IFERROR(VLOOKUP(A829,Systems!A:B,2,FALSE),"Various")</f>
        <v>Bilge system</v>
      </c>
      <c r="C829" s="11" t="s">
        <v>636</v>
      </c>
      <c r="D829" s="11"/>
      <c r="E829" s="11"/>
      <c r="F829" s="24" t="s">
        <v>1064</v>
      </c>
      <c r="G829" s="38"/>
      <c r="H829" s="11"/>
      <c r="I829" s="11"/>
      <c r="J829" s="11"/>
      <c r="K829" s="11"/>
      <c r="L829" s="11"/>
      <c r="M829" s="11"/>
      <c r="N829" s="11"/>
      <c r="O829" s="11" t="s">
        <v>747</v>
      </c>
      <c r="P829" s="11"/>
      <c r="Q829" s="11"/>
      <c r="R829" s="11"/>
      <c r="S829" s="24" t="s">
        <v>30</v>
      </c>
      <c r="T829" s="24"/>
      <c r="U829" s="24" t="str">
        <f t="shared" si="21"/>
        <v>x</v>
      </c>
      <c r="V829" s="24"/>
    </row>
    <row r="830" spans="1:22" ht="38.25">
      <c r="A830" s="10" t="s">
        <v>224</v>
      </c>
      <c r="B830" s="11" t="str">
        <f>IFERROR(VLOOKUP(A830,Systems!A:B,2,FALSE),"Various")</f>
        <v>Bilge system</v>
      </c>
      <c r="C830" s="11" t="s">
        <v>637</v>
      </c>
      <c r="D830" s="11"/>
      <c r="E830" s="11"/>
      <c r="F830" s="24" t="s">
        <v>1064</v>
      </c>
      <c r="G830" s="38"/>
      <c r="H830" s="11"/>
      <c r="I830" s="11"/>
      <c r="J830" s="11"/>
      <c r="K830" s="11"/>
      <c r="L830" s="11"/>
      <c r="M830" s="11"/>
      <c r="N830" s="11"/>
      <c r="O830" s="11" t="s">
        <v>748</v>
      </c>
      <c r="P830" s="11"/>
      <c r="Q830" s="11"/>
      <c r="R830" s="11"/>
      <c r="S830" s="24" t="s">
        <v>30</v>
      </c>
      <c r="T830" s="24"/>
      <c r="U830" s="24" t="str">
        <f t="shared" si="21"/>
        <v>x</v>
      </c>
      <c r="V830" s="24"/>
    </row>
    <row r="831" spans="1:22" ht="76.5">
      <c r="A831" s="10" t="s">
        <v>224</v>
      </c>
      <c r="B831" s="11" t="str">
        <f>IFERROR(VLOOKUP(A831,Systems!A:B,2,FALSE),"Various")</f>
        <v>Bilge system</v>
      </c>
      <c r="C831" s="11" t="s">
        <v>638</v>
      </c>
      <c r="D831" s="11"/>
      <c r="E831" s="11"/>
      <c r="F831" s="24" t="s">
        <v>1064</v>
      </c>
      <c r="G831" s="38"/>
      <c r="H831" s="11"/>
      <c r="I831" s="11"/>
      <c r="J831" s="11"/>
      <c r="K831" s="11"/>
      <c r="L831" s="11"/>
      <c r="M831" s="11"/>
      <c r="N831" s="11"/>
      <c r="O831" s="11" t="s">
        <v>749</v>
      </c>
      <c r="P831" s="11"/>
      <c r="Q831" s="11"/>
      <c r="R831" s="11"/>
      <c r="S831" s="24" t="s">
        <v>30</v>
      </c>
      <c r="T831" s="24"/>
      <c r="U831" s="24" t="str">
        <f t="shared" si="21"/>
        <v>x</v>
      </c>
      <c r="V831" s="24"/>
    </row>
    <row r="832" spans="1:22" ht="25.5">
      <c r="A832" s="10" t="s">
        <v>224</v>
      </c>
      <c r="B832" s="11" t="str">
        <f>IFERROR(VLOOKUP(A832,Systems!A:B,2,FALSE),"Various")</f>
        <v>Bilge system</v>
      </c>
      <c r="C832" s="11" t="s">
        <v>639</v>
      </c>
      <c r="D832" s="11"/>
      <c r="E832" s="11"/>
      <c r="F832" s="24" t="s">
        <v>1064</v>
      </c>
      <c r="G832" s="38"/>
      <c r="H832" s="11"/>
      <c r="I832" s="11"/>
      <c r="J832" s="11"/>
      <c r="K832" s="11"/>
      <c r="L832" s="11"/>
      <c r="M832" s="11"/>
      <c r="N832" s="11"/>
      <c r="O832" s="11" t="s">
        <v>750</v>
      </c>
      <c r="P832" s="11"/>
      <c r="Q832" s="11"/>
      <c r="R832" s="11"/>
      <c r="S832" s="24" t="s">
        <v>30</v>
      </c>
      <c r="T832" s="24"/>
      <c r="U832" s="24" t="str">
        <f t="shared" si="21"/>
        <v>x</v>
      </c>
      <c r="V832" s="24"/>
    </row>
    <row r="833" spans="1:22" ht="38.25">
      <c r="A833" s="10" t="s">
        <v>224</v>
      </c>
      <c r="B833" s="11" t="str">
        <f>IFERROR(VLOOKUP(A833,Systems!A:B,2,FALSE),"Various")</f>
        <v>Bilge system</v>
      </c>
      <c r="C833" s="11" t="s">
        <v>638</v>
      </c>
      <c r="D833" s="11"/>
      <c r="E833" s="11"/>
      <c r="F833" s="24" t="s">
        <v>1064</v>
      </c>
      <c r="G833" s="38"/>
      <c r="H833" s="11"/>
      <c r="I833" s="11"/>
      <c r="J833" s="11"/>
      <c r="K833" s="11"/>
      <c r="L833" s="11"/>
      <c r="M833" s="11"/>
      <c r="N833" s="11"/>
      <c r="O833" s="11" t="s">
        <v>751</v>
      </c>
      <c r="P833" s="11"/>
      <c r="Q833" s="11"/>
      <c r="R833" s="11"/>
      <c r="S833" s="24" t="s">
        <v>30</v>
      </c>
      <c r="T833" s="24"/>
      <c r="U833" s="24" t="str">
        <f t="shared" si="21"/>
        <v>x</v>
      </c>
      <c r="V833" s="24"/>
    </row>
    <row r="834" spans="1:22" ht="51">
      <c r="A834" s="10" t="s">
        <v>224</v>
      </c>
      <c r="B834" s="11" t="str">
        <f>IFERROR(VLOOKUP(A834,Systems!A:B,2,FALSE),"Various")</f>
        <v>Bilge system</v>
      </c>
      <c r="C834" s="11" t="s">
        <v>640</v>
      </c>
      <c r="D834" s="11"/>
      <c r="E834" s="11"/>
      <c r="F834" s="24" t="s">
        <v>1064</v>
      </c>
      <c r="G834" s="38"/>
      <c r="H834" s="11"/>
      <c r="I834" s="11"/>
      <c r="J834" s="11"/>
      <c r="K834" s="11"/>
      <c r="L834" s="11"/>
      <c r="M834" s="11"/>
      <c r="N834" s="11"/>
      <c r="O834" s="11" t="s">
        <v>752</v>
      </c>
      <c r="P834" s="11"/>
      <c r="Q834" s="11"/>
      <c r="R834" s="11"/>
      <c r="S834" s="24" t="s">
        <v>30</v>
      </c>
      <c r="T834" s="24"/>
      <c r="U834" s="24" t="str">
        <f t="shared" si="21"/>
        <v>x</v>
      </c>
      <c r="V834" s="24"/>
    </row>
    <row r="835" spans="1:22" ht="25.5">
      <c r="A835" s="10" t="s">
        <v>224</v>
      </c>
      <c r="B835" s="11" t="str">
        <f>IFERROR(VLOOKUP(A835,Systems!A:B,2,FALSE),"Various")</f>
        <v>Bilge system</v>
      </c>
      <c r="C835" s="11" t="s">
        <v>645</v>
      </c>
      <c r="D835" s="11"/>
      <c r="E835" s="11"/>
      <c r="F835" s="24" t="s">
        <v>1064</v>
      </c>
      <c r="G835" s="38"/>
      <c r="H835" s="11"/>
      <c r="I835" s="11"/>
      <c r="J835" s="11"/>
      <c r="K835" s="11"/>
      <c r="L835" s="11"/>
      <c r="M835" s="11"/>
      <c r="N835" s="11"/>
      <c r="O835" s="11" t="s">
        <v>761</v>
      </c>
      <c r="P835" s="11"/>
      <c r="Q835" s="11"/>
      <c r="R835" s="11"/>
      <c r="S835" s="24" t="s">
        <v>30</v>
      </c>
      <c r="T835" s="24"/>
      <c r="U835" s="24" t="str">
        <f t="shared" si="21"/>
        <v>x</v>
      </c>
      <c r="V835" s="24"/>
    </row>
    <row r="836" spans="1:22" ht="38.25">
      <c r="A836" s="10" t="s">
        <v>224</v>
      </c>
      <c r="B836" s="11" t="str">
        <f>IFERROR(VLOOKUP(A836,Systems!A:B,2,FALSE),"Various")</f>
        <v>Bilge system</v>
      </c>
      <c r="C836" s="11" t="s">
        <v>648</v>
      </c>
      <c r="D836" s="11"/>
      <c r="E836" s="11"/>
      <c r="F836" s="24" t="s">
        <v>1064</v>
      </c>
      <c r="G836" s="38"/>
      <c r="H836" s="11"/>
      <c r="I836" s="11"/>
      <c r="J836" s="11"/>
      <c r="K836" s="11"/>
      <c r="L836" s="11"/>
      <c r="M836" s="11"/>
      <c r="N836" s="11"/>
      <c r="O836" s="11" t="s">
        <v>762</v>
      </c>
      <c r="P836" s="11"/>
      <c r="Q836" s="11"/>
      <c r="R836" s="11"/>
      <c r="S836" s="24" t="s">
        <v>30</v>
      </c>
      <c r="T836" s="24"/>
      <c r="U836" s="24"/>
      <c r="V836" s="24"/>
    </row>
    <row r="837" spans="1:22" ht="51">
      <c r="A837" s="10" t="s">
        <v>224</v>
      </c>
      <c r="B837" s="11" t="str">
        <f>IFERROR(VLOOKUP(A837,Systems!A:B,2,FALSE),"Various")</f>
        <v>Bilge system</v>
      </c>
      <c r="C837" s="11" t="s">
        <v>647</v>
      </c>
      <c r="D837" s="11"/>
      <c r="E837" s="11"/>
      <c r="F837" s="24" t="s">
        <v>1064</v>
      </c>
      <c r="G837" s="38"/>
      <c r="H837" s="11"/>
      <c r="I837" s="11"/>
      <c r="J837" s="11"/>
      <c r="K837" s="11"/>
      <c r="L837" s="11"/>
      <c r="M837" s="11"/>
      <c r="N837" s="11"/>
      <c r="O837" s="11" t="s">
        <v>763</v>
      </c>
      <c r="P837" s="11"/>
      <c r="Q837" s="11"/>
      <c r="R837" s="11"/>
      <c r="S837" s="24" t="s">
        <v>30</v>
      </c>
      <c r="T837" s="24"/>
      <c r="U837" s="24"/>
      <c r="V837" s="24"/>
    </row>
    <row r="838" spans="1:22" ht="38.25">
      <c r="A838" s="10" t="s">
        <v>224</v>
      </c>
      <c r="B838" s="11" t="str">
        <f>IFERROR(VLOOKUP(A838,Systems!A:B,2,FALSE),"Various")</f>
        <v>Bilge system</v>
      </c>
      <c r="C838" s="11" t="s">
        <v>649</v>
      </c>
      <c r="D838" s="11"/>
      <c r="E838" s="11"/>
      <c r="F838" s="24" t="s">
        <v>1064</v>
      </c>
      <c r="G838" s="38"/>
      <c r="H838" s="11"/>
      <c r="I838" s="11"/>
      <c r="J838" s="11"/>
      <c r="K838" s="11"/>
      <c r="L838" s="11"/>
      <c r="M838" s="11"/>
      <c r="N838" s="11"/>
      <c r="O838" s="11" t="s">
        <v>764</v>
      </c>
      <c r="P838" s="11"/>
      <c r="Q838" s="11"/>
      <c r="R838" s="11"/>
      <c r="S838" s="24" t="s">
        <v>1305</v>
      </c>
      <c r="T838" s="24"/>
      <c r="U838" s="24"/>
      <c r="V838" s="24"/>
    </row>
    <row r="839" spans="1:22" ht="38.25">
      <c r="A839" s="10" t="s">
        <v>224</v>
      </c>
      <c r="B839" s="11" t="str">
        <f>IFERROR(VLOOKUP(A839,Systems!A:B,2,FALSE),"Various")</f>
        <v>Bilge system</v>
      </c>
      <c r="C839" s="11" t="s">
        <v>646</v>
      </c>
      <c r="D839" s="11"/>
      <c r="E839" s="11"/>
      <c r="F839" s="24" t="s">
        <v>1064</v>
      </c>
      <c r="G839" s="38"/>
      <c r="H839" s="11"/>
      <c r="I839" s="11"/>
      <c r="J839" s="11"/>
      <c r="K839" s="11"/>
      <c r="L839" s="11"/>
      <c r="M839" s="11"/>
      <c r="N839" s="11"/>
      <c r="O839" s="11" t="s">
        <v>765</v>
      </c>
      <c r="P839" s="11"/>
      <c r="Q839" s="11"/>
      <c r="R839" s="11"/>
      <c r="S839" s="24" t="s">
        <v>30</v>
      </c>
      <c r="T839" s="24"/>
      <c r="U839" s="24" t="str">
        <f>IF(OR(NOT(H839=""),NOT(M839="")),"","x")</f>
        <v>x</v>
      </c>
      <c r="V839" s="24"/>
    </row>
    <row r="840" spans="1:22" ht="51">
      <c r="A840" s="10" t="s">
        <v>224</v>
      </c>
      <c r="B840" s="11" t="str">
        <f>IFERROR(VLOOKUP(A840,Systems!A:B,2,FALSE),"Various")</f>
        <v>Bilge system</v>
      </c>
      <c r="C840" s="11" t="s">
        <v>650</v>
      </c>
      <c r="D840" s="11"/>
      <c r="E840" s="11"/>
      <c r="F840" s="24" t="s">
        <v>1064</v>
      </c>
      <c r="G840" s="38"/>
      <c r="H840" s="11"/>
      <c r="I840" s="11"/>
      <c r="J840" s="11"/>
      <c r="K840" s="11"/>
      <c r="L840" s="11"/>
      <c r="M840" s="11"/>
      <c r="N840" s="11"/>
      <c r="O840" s="11" t="s">
        <v>766</v>
      </c>
      <c r="P840" s="11"/>
      <c r="Q840" s="11"/>
      <c r="R840" s="11"/>
      <c r="S840" s="24" t="s">
        <v>30</v>
      </c>
      <c r="T840" s="24"/>
      <c r="U840" s="24"/>
      <c r="V840" s="24"/>
    </row>
    <row r="841" spans="1:22" ht="38.25">
      <c r="A841" s="10" t="s">
        <v>224</v>
      </c>
      <c r="B841" s="11" t="str">
        <f>IFERROR(VLOOKUP(A841,Systems!A:B,2,FALSE),"Various")</f>
        <v>Bilge system</v>
      </c>
      <c r="C841" s="11" t="s">
        <v>55</v>
      </c>
      <c r="D841" s="11"/>
      <c r="E841" s="11"/>
      <c r="F841" s="24" t="s">
        <v>1064</v>
      </c>
      <c r="G841" s="38"/>
      <c r="H841" s="11"/>
      <c r="I841" s="11"/>
      <c r="J841" s="11"/>
      <c r="K841" s="11"/>
      <c r="L841" s="11"/>
      <c r="M841" s="11"/>
      <c r="N841" s="11"/>
      <c r="O841" s="11" t="s">
        <v>767</v>
      </c>
      <c r="P841" s="11"/>
      <c r="Q841" s="11"/>
      <c r="R841" s="11"/>
      <c r="S841" s="24" t="s">
        <v>30</v>
      </c>
      <c r="T841" s="24"/>
      <c r="U841" s="24"/>
      <c r="V841" s="24"/>
    </row>
    <row r="842" spans="1:22" ht="89.25">
      <c r="A842" s="10" t="s">
        <v>224</v>
      </c>
      <c r="B842" s="11" t="str">
        <f>IFERROR(VLOOKUP(A842,Systems!A:B,2,FALSE),"Various")</f>
        <v>Bilge system</v>
      </c>
      <c r="C842" s="11" t="s">
        <v>651</v>
      </c>
      <c r="D842" s="11"/>
      <c r="E842" s="11"/>
      <c r="F842" s="24" t="s">
        <v>1064</v>
      </c>
      <c r="G842" s="38"/>
      <c r="H842" s="11"/>
      <c r="I842" s="11"/>
      <c r="J842" s="11"/>
      <c r="K842" s="11"/>
      <c r="L842" s="11"/>
      <c r="M842" s="11"/>
      <c r="N842" s="11"/>
      <c r="O842" s="11" t="s">
        <v>768</v>
      </c>
      <c r="P842" s="11"/>
      <c r="Q842" s="11"/>
      <c r="R842" s="11"/>
      <c r="S842" s="24" t="s">
        <v>30</v>
      </c>
      <c r="T842" s="24"/>
      <c r="U842" s="24"/>
      <c r="V842" s="24"/>
    </row>
    <row r="843" spans="1:22" ht="38.25">
      <c r="A843" s="10" t="s">
        <v>224</v>
      </c>
      <c r="B843" s="11" t="str">
        <f>IFERROR(VLOOKUP(A843,Systems!A:B,2,FALSE),"Various")</f>
        <v>Bilge system</v>
      </c>
      <c r="C843" s="11" t="s">
        <v>55</v>
      </c>
      <c r="D843" s="11"/>
      <c r="E843" s="11"/>
      <c r="F843" s="24" t="s">
        <v>1064</v>
      </c>
      <c r="G843" s="38"/>
      <c r="H843" s="11"/>
      <c r="I843" s="11"/>
      <c r="J843" s="11"/>
      <c r="K843" s="11"/>
      <c r="L843" s="11"/>
      <c r="M843" s="11"/>
      <c r="N843" s="11"/>
      <c r="O843" s="11" t="s">
        <v>769</v>
      </c>
      <c r="P843" s="11"/>
      <c r="Q843" s="11"/>
      <c r="R843" s="11"/>
      <c r="S843" s="24" t="s">
        <v>30</v>
      </c>
      <c r="T843" s="24"/>
      <c r="U843" s="24"/>
      <c r="V843" s="24"/>
    </row>
    <row r="844" spans="1:22" ht="25.5">
      <c r="A844" s="10" t="s">
        <v>224</v>
      </c>
      <c r="B844" s="11" t="str">
        <f>IFERROR(VLOOKUP(A844,Systems!A:B,2,FALSE),"Various")</f>
        <v>Bilge system</v>
      </c>
      <c r="C844" s="11" t="s">
        <v>652</v>
      </c>
      <c r="D844" s="11"/>
      <c r="E844" s="11"/>
      <c r="F844" s="24" t="s">
        <v>1064</v>
      </c>
      <c r="G844" s="38"/>
      <c r="H844" s="11"/>
      <c r="I844" s="11"/>
      <c r="J844" s="11"/>
      <c r="K844" s="11"/>
      <c r="L844" s="11"/>
      <c r="M844" s="11"/>
      <c r="N844" s="11"/>
      <c r="O844" s="11" t="s">
        <v>770</v>
      </c>
      <c r="P844" s="11"/>
      <c r="Q844" s="11"/>
      <c r="R844" s="11"/>
      <c r="S844" s="24" t="s">
        <v>30</v>
      </c>
      <c r="T844" s="24"/>
      <c r="U844" s="24"/>
      <c r="V844" s="24"/>
    </row>
    <row r="845" spans="1:22" ht="63.75">
      <c r="A845" s="10" t="s">
        <v>224</v>
      </c>
      <c r="B845" s="11" t="str">
        <f>IFERROR(VLOOKUP(A845,Systems!A:B,2,FALSE),"Various")</f>
        <v>Bilge system</v>
      </c>
      <c r="C845" s="11" t="s">
        <v>640</v>
      </c>
      <c r="D845" s="11"/>
      <c r="E845" s="11"/>
      <c r="F845" s="24" t="s">
        <v>1064</v>
      </c>
      <c r="G845" s="38"/>
      <c r="H845" s="11"/>
      <c r="I845" s="11"/>
      <c r="J845" s="11"/>
      <c r="K845" s="11"/>
      <c r="L845" s="11"/>
      <c r="M845" s="11"/>
      <c r="N845" s="11"/>
      <c r="O845" s="11" t="s">
        <v>753</v>
      </c>
      <c r="P845" s="11"/>
      <c r="Q845" s="11"/>
      <c r="R845" s="11"/>
      <c r="S845" s="24" t="s">
        <v>30</v>
      </c>
      <c r="T845" s="24"/>
      <c r="U845" s="24"/>
      <c r="V845" s="24"/>
    </row>
    <row r="846" spans="1:22" ht="38.25">
      <c r="A846" s="10" t="s">
        <v>224</v>
      </c>
      <c r="B846" s="11" t="str">
        <f>IFERROR(VLOOKUP(A846,Systems!A:B,2,FALSE),"Various")</f>
        <v>Bilge system</v>
      </c>
      <c r="C846" s="11" t="s">
        <v>653</v>
      </c>
      <c r="D846" s="11"/>
      <c r="E846" s="11"/>
      <c r="F846" s="24" t="s">
        <v>1064</v>
      </c>
      <c r="G846" s="38"/>
      <c r="H846" s="11"/>
      <c r="I846" s="11"/>
      <c r="J846" s="11"/>
      <c r="K846" s="11"/>
      <c r="L846" s="11"/>
      <c r="M846" s="11"/>
      <c r="N846" s="11"/>
      <c r="O846" s="11" t="s">
        <v>771</v>
      </c>
      <c r="P846" s="11"/>
      <c r="Q846" s="11"/>
      <c r="R846" s="11"/>
      <c r="S846" s="24" t="s">
        <v>30</v>
      </c>
      <c r="T846" s="24"/>
      <c r="U846" s="24"/>
      <c r="V846" s="24"/>
    </row>
    <row r="847" spans="1:22" ht="25.5">
      <c r="A847" s="10" t="s">
        <v>224</v>
      </c>
      <c r="B847" s="11" t="str">
        <f>IFERROR(VLOOKUP(A847,Systems!A:B,2,FALSE),"Various")</f>
        <v>Bilge system</v>
      </c>
      <c r="C847" s="11" t="s">
        <v>640</v>
      </c>
      <c r="D847" s="11"/>
      <c r="E847" s="11"/>
      <c r="F847" s="24" t="s">
        <v>1064</v>
      </c>
      <c r="G847" s="38"/>
      <c r="H847" s="11"/>
      <c r="I847" s="11"/>
      <c r="J847" s="11"/>
      <c r="K847" s="11"/>
      <c r="L847" s="11"/>
      <c r="M847" s="11"/>
      <c r="N847" s="11"/>
      <c r="O847" s="11" t="s">
        <v>754</v>
      </c>
      <c r="P847" s="11"/>
      <c r="Q847" s="11"/>
      <c r="R847" s="11"/>
      <c r="S847" s="35"/>
      <c r="T847" s="35"/>
      <c r="U847" s="35"/>
      <c r="V847" s="35"/>
    </row>
    <row r="848" spans="1:22" ht="51">
      <c r="A848" s="10" t="s">
        <v>224</v>
      </c>
      <c r="B848" s="11" t="str">
        <f>IFERROR(VLOOKUP(A848,Systems!A:B,2,FALSE),"Various")</f>
        <v>Bilge system</v>
      </c>
      <c r="C848" s="11" t="s">
        <v>641</v>
      </c>
      <c r="D848" s="11"/>
      <c r="E848" s="11"/>
      <c r="F848" s="24" t="s">
        <v>1064</v>
      </c>
      <c r="G848" s="38"/>
      <c r="H848" s="11"/>
      <c r="I848" s="11"/>
      <c r="J848" s="11"/>
      <c r="K848" s="11"/>
      <c r="L848" s="11"/>
      <c r="M848" s="11"/>
      <c r="N848" s="11"/>
      <c r="O848" s="11" t="s">
        <v>755</v>
      </c>
      <c r="P848" s="11"/>
      <c r="Q848" s="11"/>
      <c r="R848" s="11"/>
      <c r="S848" s="24" t="s">
        <v>30</v>
      </c>
      <c r="T848" s="24"/>
      <c r="U848" s="24" t="str">
        <f t="shared" ref="U848:U855" si="22">IF(OR(NOT(H848=""),NOT(M848="")),"","x")</f>
        <v>x</v>
      </c>
      <c r="V848" s="24"/>
    </row>
    <row r="849" spans="1:22" ht="38.25">
      <c r="A849" s="10" t="s">
        <v>224</v>
      </c>
      <c r="B849" s="11" t="str">
        <f>IFERROR(VLOOKUP(A849,Systems!A:B,2,FALSE),"Various")</f>
        <v>Bilge system</v>
      </c>
      <c r="C849" s="11" t="s">
        <v>642</v>
      </c>
      <c r="D849" s="11"/>
      <c r="E849" s="11"/>
      <c r="F849" s="24" t="s">
        <v>1064</v>
      </c>
      <c r="G849" s="38"/>
      <c r="H849" s="11"/>
      <c r="I849" s="11"/>
      <c r="J849" s="11"/>
      <c r="K849" s="11"/>
      <c r="L849" s="11"/>
      <c r="M849" s="11"/>
      <c r="N849" s="11"/>
      <c r="O849" s="11" t="s">
        <v>756</v>
      </c>
      <c r="P849" s="11"/>
      <c r="Q849" s="11"/>
      <c r="R849" s="11"/>
      <c r="S849" s="24" t="s">
        <v>30</v>
      </c>
      <c r="T849" s="24"/>
      <c r="U849" s="24" t="str">
        <f t="shared" si="22"/>
        <v>x</v>
      </c>
      <c r="V849" s="24"/>
    </row>
    <row r="850" spans="1:22" ht="38.25">
      <c r="A850" s="10" t="s">
        <v>224</v>
      </c>
      <c r="B850" s="11" t="str">
        <f>IFERROR(VLOOKUP(A850,Systems!A:B,2,FALSE),"Various")</f>
        <v>Bilge system</v>
      </c>
      <c r="C850" s="11" t="s">
        <v>643</v>
      </c>
      <c r="D850" s="11"/>
      <c r="E850" s="11"/>
      <c r="F850" s="24" t="s">
        <v>1064</v>
      </c>
      <c r="G850" s="38"/>
      <c r="H850" s="11"/>
      <c r="I850" s="11"/>
      <c r="J850" s="11"/>
      <c r="K850" s="11"/>
      <c r="L850" s="11"/>
      <c r="M850" s="11"/>
      <c r="N850" s="11"/>
      <c r="O850" s="11" t="s">
        <v>757</v>
      </c>
      <c r="P850" s="11"/>
      <c r="Q850" s="11"/>
      <c r="R850" s="11"/>
      <c r="S850" s="24" t="s">
        <v>30</v>
      </c>
      <c r="T850" s="24"/>
      <c r="U850" s="24" t="str">
        <f t="shared" si="22"/>
        <v>x</v>
      </c>
      <c r="V850" s="24"/>
    </row>
    <row r="851" spans="1:22" ht="38.25">
      <c r="A851" s="10" t="s">
        <v>224</v>
      </c>
      <c r="B851" s="11" t="str">
        <f>IFERROR(VLOOKUP(A851,Systems!A:B,2,FALSE),"Various")</f>
        <v>Bilge system</v>
      </c>
      <c r="C851" s="11" t="s">
        <v>643</v>
      </c>
      <c r="D851" s="11"/>
      <c r="E851" s="11"/>
      <c r="F851" s="24" t="s">
        <v>1064</v>
      </c>
      <c r="G851" s="38"/>
      <c r="H851" s="11"/>
      <c r="I851" s="11"/>
      <c r="J851" s="11"/>
      <c r="K851" s="11"/>
      <c r="L851" s="11"/>
      <c r="M851" s="11"/>
      <c r="N851" s="11"/>
      <c r="O851" s="11" t="s">
        <v>758</v>
      </c>
      <c r="P851" s="11"/>
      <c r="Q851" s="11"/>
      <c r="R851" s="11"/>
      <c r="S851" s="24" t="s">
        <v>30</v>
      </c>
      <c r="T851" s="24"/>
      <c r="U851" s="24" t="str">
        <f t="shared" si="22"/>
        <v>x</v>
      </c>
      <c r="V851" s="24"/>
    </row>
    <row r="852" spans="1:22" ht="25.5">
      <c r="A852" s="10" t="s">
        <v>224</v>
      </c>
      <c r="B852" s="11" t="str">
        <f>IFERROR(VLOOKUP(A852,Systems!A:B,2,FALSE),"Various")</f>
        <v>Bilge system</v>
      </c>
      <c r="C852" s="11" t="s">
        <v>644</v>
      </c>
      <c r="D852" s="11"/>
      <c r="E852" s="11"/>
      <c r="F852" s="24" t="s">
        <v>1064</v>
      </c>
      <c r="G852" s="38"/>
      <c r="H852" s="11"/>
      <c r="I852" s="11"/>
      <c r="J852" s="11"/>
      <c r="K852" s="11"/>
      <c r="L852" s="11"/>
      <c r="M852" s="11"/>
      <c r="N852" s="11"/>
      <c r="O852" s="11" t="s">
        <v>759</v>
      </c>
      <c r="P852" s="11"/>
      <c r="Q852" s="11"/>
      <c r="R852" s="11"/>
      <c r="S852" s="24"/>
      <c r="T852" s="24"/>
      <c r="U852" s="24" t="str">
        <f t="shared" si="22"/>
        <v>x</v>
      </c>
      <c r="V852" s="24"/>
    </row>
    <row r="853" spans="1:22" ht="25.5">
      <c r="A853" s="10" t="s">
        <v>224</v>
      </c>
      <c r="B853" s="11" t="str">
        <f>IFERROR(VLOOKUP(A853,Systems!A:B,2,FALSE),"Various")</f>
        <v>Bilge system</v>
      </c>
      <c r="C853" s="11" t="s">
        <v>644</v>
      </c>
      <c r="D853" s="11"/>
      <c r="E853" s="11"/>
      <c r="F853" s="24" t="s">
        <v>1064</v>
      </c>
      <c r="G853" s="38"/>
      <c r="H853" s="11"/>
      <c r="I853" s="11"/>
      <c r="J853" s="11"/>
      <c r="K853" s="11"/>
      <c r="L853" s="11"/>
      <c r="M853" s="11"/>
      <c r="N853" s="11"/>
      <c r="O853" s="11" t="s">
        <v>760</v>
      </c>
      <c r="P853" s="11"/>
      <c r="Q853" s="11"/>
      <c r="R853" s="11"/>
      <c r="S853" s="24"/>
      <c r="T853" s="24"/>
      <c r="U853" s="24" t="str">
        <f t="shared" si="22"/>
        <v>x</v>
      </c>
      <c r="V853" s="24"/>
    </row>
    <row r="854" spans="1:22" ht="38.25">
      <c r="A854" s="10" t="s">
        <v>224</v>
      </c>
      <c r="B854" s="11" t="str">
        <f>IFERROR(VLOOKUP(A854,Systems!A:B,2,FALSE),"Various")</f>
        <v>Bilge system</v>
      </c>
      <c r="C854" s="11" t="s">
        <v>1779</v>
      </c>
      <c r="D854" s="11"/>
      <c r="E854" s="11"/>
      <c r="F854" s="24" t="s">
        <v>1064</v>
      </c>
      <c r="G854" s="38"/>
      <c r="H854" s="11"/>
      <c r="I854" s="11"/>
      <c r="J854" s="11"/>
      <c r="K854" s="11"/>
      <c r="L854" s="11"/>
      <c r="M854" s="11"/>
      <c r="N854" s="11"/>
      <c r="O854" s="11"/>
      <c r="P854" s="11"/>
      <c r="Q854" s="11" t="s">
        <v>1784</v>
      </c>
      <c r="R854" s="11"/>
      <c r="S854" s="24"/>
      <c r="T854" s="24"/>
      <c r="U854" s="24" t="str">
        <f t="shared" si="22"/>
        <v>x</v>
      </c>
      <c r="V854" s="24"/>
    </row>
    <row r="855" spans="1:22" ht="51">
      <c r="A855" s="10" t="s">
        <v>781</v>
      </c>
      <c r="B855" s="11" t="str">
        <f>IFERROR(VLOOKUP(A855,Systems!A:B,2,FALSE),"Various")</f>
        <v>Various</v>
      </c>
      <c r="C855" s="11" t="s">
        <v>774</v>
      </c>
      <c r="D855" s="11"/>
      <c r="E855" s="11"/>
      <c r="F855" s="24" t="s">
        <v>1064</v>
      </c>
      <c r="G855" s="38"/>
      <c r="H855" s="11"/>
      <c r="I855" s="11"/>
      <c r="J855" s="11"/>
      <c r="K855" s="11"/>
      <c r="L855" s="11"/>
      <c r="M855" s="11"/>
      <c r="N855" s="11"/>
      <c r="O855" s="11" t="s">
        <v>655</v>
      </c>
      <c r="P855" s="11"/>
      <c r="Q855" s="11"/>
      <c r="R855" s="11"/>
      <c r="S855" s="24" t="s">
        <v>30</v>
      </c>
      <c r="T855" s="24"/>
      <c r="U855" s="24" t="str">
        <f t="shared" si="22"/>
        <v>x</v>
      </c>
      <c r="V855" s="24"/>
    </row>
    <row r="856" spans="1:22" ht="38.25">
      <c r="A856" s="10" t="s">
        <v>619</v>
      </c>
      <c r="B856" s="11" t="str">
        <f>IFERROR(VLOOKUP(A856,Systems!A:B,2,FALSE),"Various")</f>
        <v>Various</v>
      </c>
      <c r="C856" s="11" t="s">
        <v>620</v>
      </c>
      <c r="D856" s="11"/>
      <c r="E856" s="11"/>
      <c r="F856" s="24" t="s">
        <v>1064</v>
      </c>
      <c r="G856" s="38"/>
      <c r="H856" s="11"/>
      <c r="I856" s="11"/>
      <c r="J856" s="11"/>
      <c r="K856" s="11"/>
      <c r="L856" s="11"/>
      <c r="M856" s="11"/>
      <c r="N856" s="11"/>
      <c r="O856" s="11" t="s">
        <v>678</v>
      </c>
      <c r="P856" s="11"/>
      <c r="Q856" s="11"/>
      <c r="R856" s="11"/>
      <c r="S856" s="24"/>
      <c r="T856" s="24"/>
      <c r="U856" s="24"/>
      <c r="V856" s="24"/>
    </row>
    <row r="857" spans="1:22" ht="89.25">
      <c r="A857" s="10" t="s">
        <v>207</v>
      </c>
      <c r="B857" s="11" t="str">
        <f>IFERROR(VLOOKUP(A857,Systems!A:B,2,FALSE),"Various")</f>
        <v>Various</v>
      </c>
      <c r="C857" s="11" t="s">
        <v>49</v>
      </c>
      <c r="D857" s="11"/>
      <c r="E857" s="11"/>
      <c r="F857" s="24" t="s">
        <v>1064</v>
      </c>
      <c r="G857" s="38"/>
      <c r="H857" s="11"/>
      <c r="I857" s="11"/>
      <c r="J857" s="11"/>
      <c r="K857" s="11"/>
      <c r="L857" s="11"/>
      <c r="M857" s="11" t="s">
        <v>236</v>
      </c>
      <c r="N857" s="11"/>
      <c r="O857" s="11"/>
      <c r="P857" s="11"/>
      <c r="Q857" s="11"/>
      <c r="R857" s="11"/>
      <c r="S857" s="24" t="s">
        <v>30</v>
      </c>
      <c r="T857" s="24"/>
      <c r="U857" s="24" t="str">
        <f>IF(OR(NOT(H857=""),NOT(M857="")),"","x")</f>
        <v/>
      </c>
      <c r="V857" s="24"/>
    </row>
    <row r="858" spans="1:22" ht="306">
      <c r="A858" s="10" t="s">
        <v>1788</v>
      </c>
      <c r="B858" s="11" t="str">
        <f>IFERROR(VLOOKUP(A858,Systems!A:B,2,FALSE),"Various")</f>
        <v>Various</v>
      </c>
      <c r="C858" s="11" t="s">
        <v>1789</v>
      </c>
      <c r="D858" s="11"/>
      <c r="E858" s="11"/>
      <c r="F858" s="24" t="s">
        <v>1064</v>
      </c>
      <c r="G858" s="38"/>
      <c r="H858" s="11"/>
      <c r="I858" s="11"/>
      <c r="J858" s="11"/>
      <c r="K858" s="11"/>
      <c r="L858" s="11"/>
      <c r="M858" s="11"/>
      <c r="N858" s="11"/>
      <c r="O858" s="11"/>
      <c r="P858" s="11"/>
      <c r="Q858" s="11" t="s">
        <v>1790</v>
      </c>
      <c r="R858" s="11"/>
      <c r="S858" s="24" t="s">
        <v>30</v>
      </c>
      <c r="T858" s="24"/>
      <c r="U858" s="24" t="str">
        <f>IF(OR(NOT(H858=""),NOT(M858="")),"","x")</f>
        <v>x</v>
      </c>
      <c r="V858" s="24"/>
    </row>
    <row r="859" spans="1:22" ht="114.75">
      <c r="A859" s="10" t="s">
        <v>173</v>
      </c>
      <c r="B859" s="11" t="str">
        <f>IFERROR(VLOOKUP(A859,Systems!A:B,2,FALSE),"Various")</f>
        <v>Deckwash / internal fifi system</v>
      </c>
      <c r="C859" s="11" t="s">
        <v>105</v>
      </c>
      <c r="D859" s="11"/>
      <c r="E859" s="11"/>
      <c r="F859" s="24" t="s">
        <v>1064</v>
      </c>
      <c r="G859" s="38"/>
      <c r="H859" s="11"/>
      <c r="I859" s="11"/>
      <c r="J859" s="11"/>
      <c r="K859" s="11"/>
      <c r="L859" s="11"/>
      <c r="M859" s="11" t="s">
        <v>917</v>
      </c>
      <c r="N859" s="11"/>
      <c r="O859" s="11"/>
      <c r="P859" s="11"/>
      <c r="Q859" s="11"/>
      <c r="R859" s="11"/>
      <c r="S859" s="24" t="s">
        <v>30</v>
      </c>
      <c r="T859" s="24"/>
      <c r="U859" s="24"/>
      <c r="V859" s="24"/>
    </row>
    <row r="860" spans="1:22" ht="114.75">
      <c r="A860" s="10" t="s">
        <v>173</v>
      </c>
      <c r="B860" s="11" t="str">
        <f>IFERROR(VLOOKUP(A860,Systems!A:B,2,FALSE),"Various")</f>
        <v>Deckwash / internal fifi system</v>
      </c>
      <c r="C860" s="11" t="s">
        <v>111</v>
      </c>
      <c r="D860" s="11"/>
      <c r="E860" s="11"/>
      <c r="F860" s="24" t="s">
        <v>1064</v>
      </c>
      <c r="G860" s="38"/>
      <c r="H860" s="11"/>
      <c r="I860" s="11"/>
      <c r="J860" s="11"/>
      <c r="K860" s="11"/>
      <c r="L860" s="11"/>
      <c r="M860" s="11" t="s">
        <v>339</v>
      </c>
      <c r="N860" s="11"/>
      <c r="O860" s="11"/>
      <c r="P860" s="11"/>
      <c r="Q860" s="11"/>
      <c r="R860" s="11"/>
      <c r="S860" s="24" t="s">
        <v>30</v>
      </c>
      <c r="T860" s="24"/>
      <c r="U860" s="24"/>
      <c r="V860" s="24"/>
    </row>
    <row r="861" spans="1:22" ht="89.25">
      <c r="A861" s="10" t="s">
        <v>173</v>
      </c>
      <c r="B861" s="11" t="str">
        <f>IFERROR(VLOOKUP(A861,Systems!A:B,2,FALSE),"Various")</f>
        <v>Deckwash / internal fifi system</v>
      </c>
      <c r="C861" s="11" t="s">
        <v>128</v>
      </c>
      <c r="D861" s="11"/>
      <c r="E861" s="11"/>
      <c r="F861" s="24" t="s">
        <v>1064</v>
      </c>
      <c r="G861" s="38"/>
      <c r="H861" s="11"/>
      <c r="I861" s="11"/>
      <c r="J861" s="11"/>
      <c r="K861" s="11"/>
      <c r="L861" s="11"/>
      <c r="M861" s="11" t="s">
        <v>900</v>
      </c>
      <c r="N861" s="11"/>
      <c r="O861" s="11"/>
      <c r="P861" s="11"/>
      <c r="Q861" s="11"/>
      <c r="R861" s="11"/>
      <c r="S861" s="24" t="s">
        <v>30</v>
      </c>
      <c r="T861" s="24"/>
      <c r="U861" s="24"/>
      <c r="V861" s="24"/>
    </row>
    <row r="862" spans="1:22" ht="38.25">
      <c r="A862" s="10" t="s">
        <v>173</v>
      </c>
      <c r="B862" s="11" t="str">
        <f>IFERROR(VLOOKUP(A862,Systems!A:B,2,FALSE),"Various")</f>
        <v>Deckwash / internal fifi system</v>
      </c>
      <c r="C862" s="11" t="s">
        <v>130</v>
      </c>
      <c r="D862" s="11"/>
      <c r="E862" s="11"/>
      <c r="F862" s="24" t="s">
        <v>1064</v>
      </c>
      <c r="G862" s="38"/>
      <c r="H862" s="11"/>
      <c r="I862" s="11"/>
      <c r="J862" s="11"/>
      <c r="K862" s="11"/>
      <c r="L862" s="11"/>
      <c r="M862" s="11" t="s">
        <v>346</v>
      </c>
      <c r="N862" s="11"/>
      <c r="O862" s="11"/>
      <c r="P862" s="11"/>
      <c r="Q862" s="11"/>
      <c r="R862" s="11"/>
      <c r="S862" s="24" t="s">
        <v>30</v>
      </c>
      <c r="T862" s="24"/>
      <c r="U862" s="24" t="str">
        <f>IF(OR(NOT(H862=""),NOT(M862="")),"","x")</f>
        <v/>
      </c>
      <c r="V862" s="24"/>
    </row>
    <row r="863" spans="1:22" ht="114.75">
      <c r="A863" s="10" t="s">
        <v>173</v>
      </c>
      <c r="B863" s="11" t="str">
        <f>IFERROR(VLOOKUP(A863,Systems!A:B,2,FALSE),"Various")</f>
        <v>Deckwash / internal fifi system</v>
      </c>
      <c r="C863" s="11" t="s">
        <v>553</v>
      </c>
      <c r="D863" s="11"/>
      <c r="E863" s="11"/>
      <c r="F863" s="24" t="s">
        <v>1064</v>
      </c>
      <c r="G863" s="38"/>
      <c r="H863" s="11"/>
      <c r="I863" s="11"/>
      <c r="J863" s="11"/>
      <c r="K863" s="11"/>
      <c r="L863" s="11"/>
      <c r="M863" s="11" t="s">
        <v>551</v>
      </c>
      <c r="N863" s="11"/>
      <c r="O863" s="11"/>
      <c r="P863" s="11"/>
      <c r="Q863" s="11"/>
      <c r="R863" s="11"/>
      <c r="S863" s="24" t="s">
        <v>1305</v>
      </c>
      <c r="T863" s="24"/>
      <c r="U863" s="24"/>
      <c r="V863" s="24"/>
    </row>
    <row r="864" spans="1:22" ht="89.25">
      <c r="A864" s="10" t="s">
        <v>173</v>
      </c>
      <c r="B864" s="11" t="str">
        <f>IFERROR(VLOOKUP(A864,Systems!A:B,2,FALSE),"Various")</f>
        <v>Deckwash / internal fifi system</v>
      </c>
      <c r="C864" s="11" t="s">
        <v>552</v>
      </c>
      <c r="D864" s="11"/>
      <c r="E864" s="11"/>
      <c r="F864" s="24" t="s">
        <v>1064</v>
      </c>
      <c r="G864" s="38"/>
      <c r="H864" s="11"/>
      <c r="I864" s="11"/>
      <c r="J864" s="11"/>
      <c r="K864" s="11"/>
      <c r="L864" s="11"/>
      <c r="M864" s="11" t="s">
        <v>550</v>
      </c>
      <c r="N864" s="11"/>
      <c r="O864" s="11"/>
      <c r="P864" s="11"/>
      <c r="Q864" s="11"/>
      <c r="R864" s="11"/>
      <c r="S864" s="24" t="s">
        <v>30</v>
      </c>
      <c r="T864" s="24"/>
      <c r="U864" s="24" t="str">
        <f t="shared" ref="U864:U872" si="23">IF(OR(NOT(H864=""),NOT(M864="")),"","x")</f>
        <v/>
      </c>
      <c r="V864" s="24"/>
    </row>
    <row r="865" spans="1:22" ht="76.5">
      <c r="A865" s="10" t="s">
        <v>304</v>
      </c>
      <c r="B865" s="11" t="str">
        <f>IFERROR(VLOOKUP(A865,Systems!A:B,2,FALSE),"Various")</f>
        <v>Bilge / ballast / internal fifi</v>
      </c>
      <c r="C865" s="11" t="s">
        <v>47</v>
      </c>
      <c r="D865" s="11"/>
      <c r="E865" s="11"/>
      <c r="F865" s="24" t="s">
        <v>1064</v>
      </c>
      <c r="G865" s="38"/>
      <c r="H865" s="11"/>
      <c r="I865" s="11"/>
      <c r="J865" s="11"/>
      <c r="K865" s="11"/>
      <c r="L865" s="11"/>
      <c r="M865" s="11"/>
      <c r="N865" s="11"/>
      <c r="O865" s="11"/>
      <c r="P865" s="11" t="s">
        <v>303</v>
      </c>
      <c r="Q865" s="11"/>
      <c r="R865" s="11"/>
      <c r="S865" s="24" t="s">
        <v>30</v>
      </c>
      <c r="T865" s="24"/>
      <c r="U865" s="24" t="str">
        <f t="shared" si="23"/>
        <v>x</v>
      </c>
      <c r="V865" s="24"/>
    </row>
    <row r="866" spans="1:22" ht="191.25">
      <c r="A866" s="10" t="s">
        <v>832</v>
      </c>
      <c r="B866" s="11" t="str">
        <f>IFERROR(VLOOKUP(A866,Systems!A:B,2,FALSE),"Various")</f>
        <v>Fuel transfer system</v>
      </c>
      <c r="C866" s="11" t="s">
        <v>347</v>
      </c>
      <c r="D866" s="11"/>
      <c r="E866" s="11"/>
      <c r="F866" s="24" t="s">
        <v>1064</v>
      </c>
      <c r="G866" s="38"/>
      <c r="H866" s="11"/>
      <c r="I866" s="11"/>
      <c r="J866" s="11"/>
      <c r="K866" s="11"/>
      <c r="L866" s="11"/>
      <c r="M866" s="11" t="s">
        <v>1210</v>
      </c>
      <c r="N866" s="11"/>
      <c r="O866" s="11"/>
      <c r="P866" s="11"/>
      <c r="Q866" s="11"/>
      <c r="R866" s="11"/>
      <c r="S866" s="24" t="s">
        <v>30</v>
      </c>
      <c r="T866" s="24"/>
      <c r="U866" s="24" t="str">
        <f t="shared" si="23"/>
        <v/>
      </c>
      <c r="V866" s="24"/>
    </row>
    <row r="867" spans="1:22" ht="38.25">
      <c r="A867" s="10" t="s">
        <v>832</v>
      </c>
      <c r="B867" s="11" t="str">
        <f>IFERROR(VLOOKUP(A867,Systems!A:B,2,FALSE),"Various")</f>
        <v>Fuel transfer system</v>
      </c>
      <c r="C867" s="11" t="s">
        <v>124</v>
      </c>
      <c r="D867" s="11"/>
      <c r="E867" s="11"/>
      <c r="F867" s="24" t="s">
        <v>1064</v>
      </c>
      <c r="G867" s="38"/>
      <c r="H867" s="11"/>
      <c r="I867" s="11"/>
      <c r="J867" s="11"/>
      <c r="K867" s="11"/>
      <c r="L867" s="11"/>
      <c r="M867" s="11" t="s">
        <v>348</v>
      </c>
      <c r="N867" s="11"/>
      <c r="O867" s="11"/>
      <c r="P867" s="11"/>
      <c r="Q867" s="11"/>
      <c r="R867" s="11"/>
      <c r="S867" s="24" t="s">
        <v>30</v>
      </c>
      <c r="T867" s="24"/>
      <c r="U867" s="24" t="str">
        <f t="shared" si="23"/>
        <v/>
      </c>
      <c r="V867" s="24"/>
    </row>
    <row r="868" spans="1:22" ht="51">
      <c r="A868" s="10" t="s">
        <v>832</v>
      </c>
      <c r="B868" s="11" t="str">
        <f>IFERROR(VLOOKUP(A868,Systems!A:B,2,FALSE),"Various")</f>
        <v>Fuel transfer system</v>
      </c>
      <c r="C868" s="11" t="s">
        <v>125</v>
      </c>
      <c r="D868" s="11"/>
      <c r="E868" s="11"/>
      <c r="F868" s="24" t="s">
        <v>1064</v>
      </c>
      <c r="G868" s="38"/>
      <c r="H868" s="11"/>
      <c r="I868" s="11"/>
      <c r="J868" s="11"/>
      <c r="K868" s="11"/>
      <c r="L868" s="11"/>
      <c r="M868" s="11" t="s">
        <v>349</v>
      </c>
      <c r="N868" s="11"/>
      <c r="O868" s="11"/>
      <c r="P868" s="11"/>
      <c r="Q868" s="11"/>
      <c r="R868" s="11"/>
      <c r="S868" s="24" t="s">
        <v>30</v>
      </c>
      <c r="T868" s="24"/>
      <c r="U868" s="24" t="str">
        <f t="shared" si="23"/>
        <v/>
      </c>
      <c r="V868" s="24"/>
    </row>
    <row r="869" spans="1:22" ht="280.5">
      <c r="A869" s="10" t="s">
        <v>832</v>
      </c>
      <c r="B869" s="11" t="str">
        <f>IFERROR(VLOOKUP(A869,Systems!A:B,2,FALSE),"Various")</f>
        <v>Fuel transfer system</v>
      </c>
      <c r="C869" s="11" t="s">
        <v>126</v>
      </c>
      <c r="D869" s="11"/>
      <c r="E869" s="11"/>
      <c r="F869" s="24" t="s">
        <v>1064</v>
      </c>
      <c r="G869" s="38"/>
      <c r="H869" s="11"/>
      <c r="I869" s="11"/>
      <c r="J869" s="11"/>
      <c r="K869" s="11"/>
      <c r="L869" s="11"/>
      <c r="M869" s="11" t="s">
        <v>1426</v>
      </c>
      <c r="N869" s="11"/>
      <c r="O869" s="11"/>
      <c r="P869" s="11"/>
      <c r="Q869" s="11"/>
      <c r="R869" s="11"/>
      <c r="S869" s="24" t="s">
        <v>30</v>
      </c>
      <c r="T869" s="24"/>
      <c r="U869" s="24" t="str">
        <f t="shared" si="23"/>
        <v/>
      </c>
      <c r="V869" s="24"/>
    </row>
    <row r="870" spans="1:22" ht="51">
      <c r="A870" s="10" t="s">
        <v>832</v>
      </c>
      <c r="B870" s="11" t="str">
        <f>IFERROR(VLOOKUP(A870,Systems!A:B,2,FALSE),"Various")</f>
        <v>Fuel transfer system</v>
      </c>
      <c r="C870" s="11" t="s">
        <v>350</v>
      </c>
      <c r="D870" s="11"/>
      <c r="E870" s="11"/>
      <c r="F870" s="24" t="s">
        <v>1064</v>
      </c>
      <c r="G870" s="38"/>
      <c r="H870" s="11"/>
      <c r="I870" s="11"/>
      <c r="J870" s="11"/>
      <c r="K870" s="11"/>
      <c r="L870" s="11"/>
      <c r="M870" s="11" t="s">
        <v>351</v>
      </c>
      <c r="N870" s="11"/>
      <c r="O870" s="11"/>
      <c r="P870" s="11"/>
      <c r="Q870" s="11"/>
      <c r="R870" s="11"/>
      <c r="S870" s="24" t="s">
        <v>30</v>
      </c>
      <c r="T870" s="24"/>
      <c r="U870" s="24" t="str">
        <f t="shared" si="23"/>
        <v/>
      </c>
      <c r="V870" s="24"/>
    </row>
    <row r="871" spans="1:22" ht="102">
      <c r="A871" s="10" t="s">
        <v>832</v>
      </c>
      <c r="B871" s="11" t="str">
        <f>IFERROR(VLOOKUP(A871,Systems!A:B,2,FALSE),"Various")</f>
        <v>Fuel transfer system</v>
      </c>
      <c r="C871" s="11" t="s">
        <v>127</v>
      </c>
      <c r="D871" s="11"/>
      <c r="E871" s="11"/>
      <c r="F871" s="24" t="s">
        <v>1064</v>
      </c>
      <c r="G871" s="38"/>
      <c r="H871" s="11"/>
      <c r="I871" s="11"/>
      <c r="J871" s="11"/>
      <c r="K871" s="11"/>
      <c r="L871" s="11"/>
      <c r="M871" s="11" t="s">
        <v>352</v>
      </c>
      <c r="N871" s="11"/>
      <c r="O871" s="11"/>
      <c r="P871" s="11"/>
      <c r="Q871" s="11"/>
      <c r="R871" s="11"/>
      <c r="S871" s="24" t="s">
        <v>30</v>
      </c>
      <c r="T871" s="24"/>
      <c r="U871" s="24" t="str">
        <f t="shared" si="23"/>
        <v/>
      </c>
      <c r="V871" s="24"/>
    </row>
    <row r="872" spans="1:22" ht="51">
      <c r="A872" s="10" t="s">
        <v>520</v>
      </c>
      <c r="B872" s="11" t="str">
        <f>IFERROR(VLOOKUP(A872,Systems!A:B,2,FALSE),"Various")</f>
        <v>Various</v>
      </c>
      <c r="C872" s="11" t="s">
        <v>521</v>
      </c>
      <c r="D872" s="11"/>
      <c r="E872" s="11"/>
      <c r="F872" s="24" t="s">
        <v>1064</v>
      </c>
      <c r="G872" s="38"/>
      <c r="H872" s="11"/>
      <c r="I872" s="11"/>
      <c r="J872" s="11"/>
      <c r="K872" s="11"/>
      <c r="L872" s="11"/>
      <c r="M872" s="11"/>
      <c r="N872" s="11"/>
      <c r="O872" s="11"/>
      <c r="P872" s="11" t="s">
        <v>529</v>
      </c>
      <c r="Q872" s="11"/>
      <c r="R872" s="11"/>
      <c r="S872" s="24"/>
      <c r="T872" s="24"/>
      <c r="U872" s="24" t="str">
        <f t="shared" si="23"/>
        <v>x</v>
      </c>
      <c r="V872" s="24"/>
    </row>
    <row r="873" spans="1:22" ht="140.25">
      <c r="A873" s="10" t="s">
        <v>520</v>
      </c>
      <c r="B873" s="11" t="str">
        <f>IFERROR(VLOOKUP(A873,Systems!A:B,2,FALSE),"Various")</f>
        <v>Various</v>
      </c>
      <c r="C873" s="11" t="s">
        <v>522</v>
      </c>
      <c r="D873" s="11"/>
      <c r="E873" s="11"/>
      <c r="F873" s="24" t="s">
        <v>1064</v>
      </c>
      <c r="G873" s="38"/>
      <c r="H873" s="11"/>
      <c r="I873" s="11"/>
      <c r="J873" s="11"/>
      <c r="K873" s="11"/>
      <c r="L873" s="11"/>
      <c r="M873" s="11"/>
      <c r="N873" s="11"/>
      <c r="O873" s="11"/>
      <c r="P873" s="11" t="s">
        <v>528</v>
      </c>
      <c r="Q873" s="11"/>
      <c r="R873" s="11"/>
      <c r="S873" s="24" t="s">
        <v>1305</v>
      </c>
      <c r="T873" s="24"/>
      <c r="U873" s="24"/>
      <c r="V873" s="24"/>
    </row>
    <row r="874" spans="1:22" ht="38.25">
      <c r="A874" s="10" t="s">
        <v>833</v>
      </c>
      <c r="B874" s="11" t="str">
        <f>IFERROR(VLOOKUP(A874,Systems!A:B,2,FALSE),"Various")</f>
        <v>Fuel supply system</v>
      </c>
      <c r="C874" s="11" t="s">
        <v>83</v>
      </c>
      <c r="D874" s="11"/>
      <c r="E874" s="11"/>
      <c r="F874" s="24" t="s">
        <v>1064</v>
      </c>
      <c r="G874" s="38"/>
      <c r="H874" s="11"/>
      <c r="I874" s="11"/>
      <c r="J874" s="11"/>
      <c r="K874" s="11"/>
      <c r="L874" s="11"/>
      <c r="M874" s="11" t="s">
        <v>924</v>
      </c>
      <c r="N874" s="11"/>
      <c r="O874" s="11"/>
      <c r="P874" s="11" t="s">
        <v>357</v>
      </c>
      <c r="Q874" s="11"/>
      <c r="R874" s="11"/>
      <c r="S874" s="24" t="s">
        <v>30</v>
      </c>
      <c r="T874" s="24"/>
      <c r="U874" s="24"/>
      <c r="V874" s="24"/>
    </row>
    <row r="875" spans="1:22" ht="38.25">
      <c r="A875" s="10" t="s">
        <v>523</v>
      </c>
      <c r="B875" s="11" t="str">
        <f>IFERROR(VLOOKUP(A875,Systems!A:B,2,FALSE),"Various")</f>
        <v>Various</v>
      </c>
      <c r="C875" s="11" t="s">
        <v>524</v>
      </c>
      <c r="D875" s="11"/>
      <c r="E875" s="11"/>
      <c r="F875" s="24" t="s">
        <v>1064</v>
      </c>
      <c r="G875" s="38"/>
      <c r="H875" s="11"/>
      <c r="I875" s="11"/>
      <c r="J875" s="11"/>
      <c r="K875" s="11"/>
      <c r="L875" s="11"/>
      <c r="M875" s="11"/>
      <c r="N875" s="11"/>
      <c r="O875" s="11"/>
      <c r="P875" s="11" t="s">
        <v>530</v>
      </c>
      <c r="Q875" s="11"/>
      <c r="R875" s="11"/>
      <c r="S875" s="24" t="s">
        <v>30</v>
      </c>
      <c r="T875" s="24"/>
      <c r="U875" s="24"/>
      <c r="V875" s="24"/>
    </row>
    <row r="876" spans="1:22" ht="38.25">
      <c r="A876" s="10" t="s">
        <v>523</v>
      </c>
      <c r="B876" s="11" t="str">
        <f>IFERROR(VLOOKUP(A876,Systems!A:B,2,FALSE),"Various")</f>
        <v>Various</v>
      </c>
      <c r="C876" s="11" t="s">
        <v>524</v>
      </c>
      <c r="D876" s="11"/>
      <c r="E876" s="11"/>
      <c r="F876" s="24" t="s">
        <v>1064</v>
      </c>
      <c r="G876" s="38"/>
      <c r="H876" s="11"/>
      <c r="I876" s="11"/>
      <c r="J876" s="11"/>
      <c r="K876" s="11"/>
      <c r="L876" s="11"/>
      <c r="M876" s="11"/>
      <c r="N876" s="11"/>
      <c r="O876" s="11"/>
      <c r="P876" s="11" t="s">
        <v>531</v>
      </c>
      <c r="Q876" s="11"/>
      <c r="R876" s="11"/>
      <c r="S876" s="24" t="s">
        <v>1305</v>
      </c>
      <c r="T876" s="24"/>
      <c r="U876" s="24"/>
      <c r="V876" s="24"/>
    </row>
    <row r="877" spans="1:22" ht="51">
      <c r="A877" s="10" t="s">
        <v>523</v>
      </c>
      <c r="B877" s="11" t="str">
        <f>IFERROR(VLOOKUP(A877,Systems!A:B,2,FALSE),"Various")</f>
        <v>Various</v>
      </c>
      <c r="C877" s="11" t="s">
        <v>525</v>
      </c>
      <c r="D877" s="11"/>
      <c r="E877" s="11"/>
      <c r="F877" s="24" t="s">
        <v>1064</v>
      </c>
      <c r="G877" s="38"/>
      <c r="H877" s="11"/>
      <c r="I877" s="11"/>
      <c r="J877" s="11"/>
      <c r="K877" s="11"/>
      <c r="L877" s="11"/>
      <c r="M877" s="11"/>
      <c r="N877" s="11"/>
      <c r="O877" s="11"/>
      <c r="P877" s="11" t="s">
        <v>532</v>
      </c>
      <c r="Q877" s="11"/>
      <c r="R877" s="11"/>
      <c r="S877" s="24" t="s">
        <v>1305</v>
      </c>
      <c r="T877" s="24"/>
      <c r="U877" s="24"/>
      <c r="V877" s="24"/>
    </row>
    <row r="878" spans="1:22" ht="127.5">
      <c r="A878" s="10" t="s">
        <v>560</v>
      </c>
      <c r="B878" s="11" t="str">
        <f>IFERROR(VLOOKUP(A878,Systems!A:B,2,FALSE),"Various")</f>
        <v>Various</v>
      </c>
      <c r="C878" s="11" t="s">
        <v>99</v>
      </c>
      <c r="D878" s="11"/>
      <c r="E878" s="11"/>
      <c r="F878" s="24" t="s">
        <v>1064</v>
      </c>
      <c r="G878" s="38"/>
      <c r="H878" s="11"/>
      <c r="I878" s="11"/>
      <c r="J878" s="11"/>
      <c r="K878" s="11"/>
      <c r="L878" s="11"/>
      <c r="M878" s="11" t="s">
        <v>558</v>
      </c>
      <c r="N878" s="11"/>
      <c r="O878" s="11"/>
      <c r="P878" s="11"/>
      <c r="Q878" s="11"/>
      <c r="R878" s="11"/>
      <c r="S878" s="24" t="s">
        <v>1305</v>
      </c>
      <c r="T878" s="24"/>
      <c r="U878" s="24"/>
      <c r="V878" s="24"/>
    </row>
    <row r="879" spans="1:22" ht="63.75">
      <c r="A879" s="10" t="s">
        <v>537</v>
      </c>
      <c r="B879" s="11" t="str">
        <f>IFERROR(VLOOKUP(A879,Systems!A:B,2,FALSE),"Various")</f>
        <v>Various</v>
      </c>
      <c r="C879" s="11" t="s">
        <v>545</v>
      </c>
      <c r="D879" s="11"/>
      <c r="E879" s="11"/>
      <c r="F879" s="24" t="s">
        <v>1064</v>
      </c>
      <c r="G879" s="38"/>
      <c r="H879" s="11"/>
      <c r="I879" s="11"/>
      <c r="J879" s="11"/>
      <c r="K879" s="11"/>
      <c r="L879" s="11"/>
      <c r="M879" s="11"/>
      <c r="N879" s="11"/>
      <c r="O879" s="11"/>
      <c r="P879" s="11" t="s">
        <v>544</v>
      </c>
      <c r="Q879" s="11"/>
      <c r="R879" s="11"/>
      <c r="S879" s="24" t="s">
        <v>1305</v>
      </c>
      <c r="T879" s="24"/>
      <c r="U879" s="24"/>
      <c r="V879" s="24"/>
    </row>
    <row r="880" spans="1:22" ht="51">
      <c r="A880" s="10" t="s">
        <v>537</v>
      </c>
      <c r="B880" s="11" t="str">
        <f>IFERROR(VLOOKUP(A880,Systems!A:B,2,FALSE),"Various")</f>
        <v>Various</v>
      </c>
      <c r="C880" s="11" t="s">
        <v>527</v>
      </c>
      <c r="D880" s="11"/>
      <c r="E880" s="11"/>
      <c r="F880" s="24" t="s">
        <v>1064</v>
      </c>
      <c r="G880" s="38"/>
      <c r="H880" s="11"/>
      <c r="I880" s="11"/>
      <c r="J880" s="11"/>
      <c r="K880" s="11"/>
      <c r="L880" s="11"/>
      <c r="M880" s="11"/>
      <c r="N880" s="11"/>
      <c r="O880" s="11"/>
      <c r="P880" s="11" t="s">
        <v>533</v>
      </c>
      <c r="Q880" s="11"/>
      <c r="R880" s="11"/>
      <c r="S880" s="24" t="s">
        <v>1305</v>
      </c>
      <c r="T880" s="24"/>
      <c r="U880" s="24"/>
      <c r="V880" s="24"/>
    </row>
    <row r="881" spans="1:22" ht="25.5">
      <c r="A881" s="10" t="s">
        <v>537</v>
      </c>
      <c r="B881" s="11" t="str">
        <f>IFERROR(VLOOKUP(A881,Systems!A:B,2,FALSE),"Various")</f>
        <v>Various</v>
      </c>
      <c r="C881" s="11" t="s">
        <v>526</v>
      </c>
      <c r="D881" s="11"/>
      <c r="E881" s="11"/>
      <c r="F881" s="24" t="s">
        <v>1064</v>
      </c>
      <c r="G881" s="38"/>
      <c r="H881" s="11"/>
      <c r="I881" s="11"/>
      <c r="J881" s="11"/>
      <c r="K881" s="11"/>
      <c r="L881" s="11"/>
      <c r="M881" s="11"/>
      <c r="N881" s="11"/>
      <c r="O881" s="11"/>
      <c r="P881" s="11" t="s">
        <v>534</v>
      </c>
      <c r="Q881" s="11"/>
      <c r="R881" s="11"/>
      <c r="S881" s="24" t="s">
        <v>30</v>
      </c>
      <c r="T881" s="24"/>
      <c r="U881" s="24" t="str">
        <f t="shared" ref="U881:U888" si="24">IF(OR(NOT(H881=""),NOT(M881="")),"","x")</f>
        <v>x</v>
      </c>
      <c r="V881" s="24"/>
    </row>
    <row r="882" spans="1:22" ht="38.25">
      <c r="A882" s="10" t="s">
        <v>537</v>
      </c>
      <c r="B882" s="11" t="str">
        <f>IFERROR(VLOOKUP(A882,Systems!A:B,2,FALSE),"Various")</f>
        <v>Various</v>
      </c>
      <c r="C882" s="11" t="s">
        <v>526</v>
      </c>
      <c r="D882" s="11"/>
      <c r="E882" s="11"/>
      <c r="F882" s="24" t="s">
        <v>1064</v>
      </c>
      <c r="G882" s="38"/>
      <c r="H882" s="11"/>
      <c r="I882" s="11"/>
      <c r="J882" s="11"/>
      <c r="K882" s="11"/>
      <c r="L882" s="11"/>
      <c r="M882" s="11"/>
      <c r="N882" s="11"/>
      <c r="O882" s="11"/>
      <c r="P882" s="11" t="s">
        <v>535</v>
      </c>
      <c r="Q882" s="11"/>
      <c r="R882" s="11"/>
      <c r="S882" s="24" t="s">
        <v>30</v>
      </c>
      <c r="T882" s="24"/>
      <c r="U882" s="24" t="str">
        <f t="shared" si="24"/>
        <v>x</v>
      </c>
      <c r="V882" s="24"/>
    </row>
    <row r="883" spans="1:22" ht="51">
      <c r="A883" s="10" t="s">
        <v>537</v>
      </c>
      <c r="B883" s="11" t="str">
        <f>IFERROR(VLOOKUP(A883,Systems!A:B,2,FALSE),"Various")</f>
        <v>Various</v>
      </c>
      <c r="C883" s="11" t="s">
        <v>542</v>
      </c>
      <c r="D883" s="11"/>
      <c r="E883" s="11"/>
      <c r="F883" s="24" t="s">
        <v>1064</v>
      </c>
      <c r="G883" s="38"/>
      <c r="H883" s="11"/>
      <c r="I883" s="11"/>
      <c r="J883" s="11"/>
      <c r="K883" s="11"/>
      <c r="L883" s="11"/>
      <c r="M883" s="11"/>
      <c r="N883" s="11"/>
      <c r="O883" s="11"/>
      <c r="P883" s="11" t="s">
        <v>540</v>
      </c>
      <c r="Q883" s="11"/>
      <c r="R883" s="11"/>
      <c r="S883" s="24" t="s">
        <v>30</v>
      </c>
      <c r="T883" s="24"/>
      <c r="U883" s="24" t="str">
        <f t="shared" si="24"/>
        <v>x</v>
      </c>
      <c r="V883" s="24"/>
    </row>
    <row r="884" spans="1:22" ht="38.25">
      <c r="A884" s="10" t="s">
        <v>537</v>
      </c>
      <c r="B884" s="11" t="str">
        <f>IFERROR(VLOOKUP(A884,Systems!A:B,2,FALSE),"Various")</f>
        <v>Various</v>
      </c>
      <c r="C884" s="11" t="s">
        <v>543</v>
      </c>
      <c r="D884" s="11"/>
      <c r="E884" s="11"/>
      <c r="F884" s="24" t="s">
        <v>1064</v>
      </c>
      <c r="G884" s="38"/>
      <c r="H884" s="11"/>
      <c r="I884" s="11"/>
      <c r="J884" s="11"/>
      <c r="K884" s="11"/>
      <c r="L884" s="11"/>
      <c r="M884" s="11"/>
      <c r="N884" s="11"/>
      <c r="O884" s="11"/>
      <c r="P884" s="11" t="s">
        <v>541</v>
      </c>
      <c r="Q884" s="11"/>
      <c r="R884" s="11"/>
      <c r="S884" s="24" t="s">
        <v>30</v>
      </c>
      <c r="T884" s="24"/>
      <c r="U884" s="24" t="str">
        <f t="shared" si="24"/>
        <v>x</v>
      </c>
      <c r="V884" s="24"/>
    </row>
    <row r="885" spans="1:22" ht="51">
      <c r="A885" s="10" t="s">
        <v>568</v>
      </c>
      <c r="B885" s="11" t="str">
        <f>IFERROR(VLOOKUP(A885,Systems!A:B,2,FALSE),"Various")</f>
        <v>Cooling water system</v>
      </c>
      <c r="C885" s="11" t="s">
        <v>566</v>
      </c>
      <c r="D885" s="11"/>
      <c r="E885" s="11"/>
      <c r="F885" s="24" t="s">
        <v>1064</v>
      </c>
      <c r="G885" s="38"/>
      <c r="H885" s="11"/>
      <c r="I885" s="11"/>
      <c r="J885" s="11"/>
      <c r="K885" s="11"/>
      <c r="L885" s="11"/>
      <c r="M885" s="11" t="s">
        <v>907</v>
      </c>
      <c r="N885" s="11"/>
      <c r="O885" s="11"/>
      <c r="P885" s="11"/>
      <c r="Q885" s="11"/>
      <c r="R885" s="11"/>
      <c r="S885" s="24" t="s">
        <v>30</v>
      </c>
      <c r="T885" s="24"/>
      <c r="U885" s="24" t="str">
        <f t="shared" si="24"/>
        <v/>
      </c>
      <c r="V885" s="24"/>
    </row>
    <row r="886" spans="1:22" ht="165.75">
      <c r="A886" s="10" t="s">
        <v>568</v>
      </c>
      <c r="B886" s="11" t="str">
        <f>IFERROR(VLOOKUP(A886,Systems!A:B,2,FALSE),"Various")</f>
        <v>Cooling water system</v>
      </c>
      <c r="C886" s="11" t="s">
        <v>566</v>
      </c>
      <c r="D886" s="11"/>
      <c r="E886" s="11"/>
      <c r="F886" s="24" t="s">
        <v>1064</v>
      </c>
      <c r="G886" s="38"/>
      <c r="H886" s="11"/>
      <c r="I886" s="11"/>
      <c r="J886" s="11"/>
      <c r="K886" s="11"/>
      <c r="L886" s="11"/>
      <c r="M886" s="11" t="s">
        <v>567</v>
      </c>
      <c r="N886" s="11"/>
      <c r="O886" s="11"/>
      <c r="P886" s="11"/>
      <c r="Q886" s="11"/>
      <c r="R886" s="11"/>
      <c r="S886" s="24" t="s">
        <v>30</v>
      </c>
      <c r="T886" s="24"/>
      <c r="U886" s="24" t="str">
        <f t="shared" si="24"/>
        <v/>
      </c>
      <c r="V886" s="24"/>
    </row>
    <row r="887" spans="1:22" ht="51">
      <c r="A887" s="10" t="s">
        <v>568</v>
      </c>
      <c r="B887" s="11" t="str">
        <f>IFERROR(VLOOKUP(A887,Systems!A:B,2,FALSE),"Various")</f>
        <v>Cooling water system</v>
      </c>
      <c r="C887" s="11" t="s">
        <v>774</v>
      </c>
      <c r="D887" s="11"/>
      <c r="E887" s="11"/>
      <c r="F887" s="24" t="s">
        <v>1064</v>
      </c>
      <c r="G887" s="38"/>
      <c r="H887" s="11"/>
      <c r="I887" s="11"/>
      <c r="J887" s="11"/>
      <c r="K887" s="11"/>
      <c r="L887" s="11"/>
      <c r="M887" s="11"/>
      <c r="N887" s="11"/>
      <c r="O887" s="11" t="s">
        <v>780</v>
      </c>
      <c r="P887" s="11"/>
      <c r="Q887" s="11"/>
      <c r="R887" s="11"/>
      <c r="S887" s="24" t="s">
        <v>30</v>
      </c>
      <c r="T887" s="24"/>
      <c r="U887" s="24" t="str">
        <f t="shared" si="24"/>
        <v>x</v>
      </c>
      <c r="V887" s="24"/>
    </row>
    <row r="888" spans="1:22" ht="38.25">
      <c r="A888" s="10" t="s">
        <v>568</v>
      </c>
      <c r="B888" s="11" t="str">
        <f>IFERROR(VLOOKUP(A888,Systems!A:B,2,FALSE),"Various")</f>
        <v>Cooling water system</v>
      </c>
      <c r="C888" s="11" t="s">
        <v>774</v>
      </c>
      <c r="D888" s="11"/>
      <c r="E888" s="11"/>
      <c r="F888" s="24" t="s">
        <v>1064</v>
      </c>
      <c r="G888" s="38"/>
      <c r="H888" s="11"/>
      <c r="I888" s="11"/>
      <c r="J888" s="11"/>
      <c r="K888" s="11"/>
      <c r="L888" s="11"/>
      <c r="M888" s="11"/>
      <c r="N888" s="11"/>
      <c r="O888" s="11" t="s">
        <v>783</v>
      </c>
      <c r="P888" s="11"/>
      <c r="Q888" s="11"/>
      <c r="R888" s="11"/>
      <c r="S888" s="24" t="s">
        <v>30</v>
      </c>
      <c r="T888" s="24"/>
      <c r="U888" s="24" t="str">
        <f t="shared" si="24"/>
        <v>x</v>
      </c>
      <c r="V888" s="24"/>
    </row>
    <row r="889" spans="1:22">
      <c r="A889" s="10" t="s">
        <v>568</v>
      </c>
      <c r="B889" s="11" t="str">
        <f>IFERROR(VLOOKUP(A889,Systems!A:B,2,FALSE),"Various")</f>
        <v>Cooling water system</v>
      </c>
      <c r="C889" s="11" t="s">
        <v>774</v>
      </c>
      <c r="D889" s="11"/>
      <c r="E889" s="11"/>
      <c r="F889" s="24" t="s">
        <v>1064</v>
      </c>
      <c r="G889" s="38"/>
      <c r="H889" s="11"/>
      <c r="I889" s="11"/>
      <c r="J889" s="11"/>
      <c r="K889" s="11"/>
      <c r="L889" s="11"/>
      <c r="M889" s="11"/>
      <c r="N889" s="11"/>
      <c r="O889" s="11" t="s">
        <v>784</v>
      </c>
      <c r="P889" s="11"/>
      <c r="Q889" s="11"/>
      <c r="R889" s="11"/>
      <c r="S889" s="24" t="s">
        <v>30</v>
      </c>
      <c r="T889" s="24"/>
      <c r="U889" s="24"/>
      <c r="V889" s="24"/>
    </row>
    <row r="890" spans="1:22">
      <c r="A890" s="10" t="s">
        <v>568</v>
      </c>
      <c r="B890" s="11" t="str">
        <f>IFERROR(VLOOKUP(A890,Systems!A:B,2,FALSE),"Various")</f>
        <v>Cooling water system</v>
      </c>
      <c r="C890" s="11" t="s">
        <v>774</v>
      </c>
      <c r="D890" s="11"/>
      <c r="E890" s="11"/>
      <c r="F890" s="24" t="s">
        <v>1064</v>
      </c>
      <c r="G890" s="38"/>
      <c r="H890" s="11"/>
      <c r="I890" s="11"/>
      <c r="J890" s="11"/>
      <c r="K890" s="11"/>
      <c r="L890" s="11"/>
      <c r="M890" s="11"/>
      <c r="N890" s="11"/>
      <c r="O890" s="11" t="s">
        <v>785</v>
      </c>
      <c r="P890" s="11"/>
      <c r="Q890" s="11"/>
      <c r="R890" s="11"/>
      <c r="S890" s="24" t="s">
        <v>30</v>
      </c>
      <c r="T890" s="24"/>
      <c r="U890" s="24" t="str">
        <f>IF(OR(NOT(H890=""),NOT(M890="")),"","x")</f>
        <v>x</v>
      </c>
      <c r="V890" s="24"/>
    </row>
    <row r="891" spans="1:22">
      <c r="A891" s="10" t="s">
        <v>568</v>
      </c>
      <c r="B891" s="11" t="str">
        <f>IFERROR(VLOOKUP(A891,Systems!A:B,2,FALSE),"Various")</f>
        <v>Cooling water system</v>
      </c>
      <c r="C891" s="11" t="s">
        <v>774</v>
      </c>
      <c r="D891" s="11"/>
      <c r="E891" s="11"/>
      <c r="F891" s="24" t="s">
        <v>1064</v>
      </c>
      <c r="G891" s="38"/>
      <c r="H891" s="11"/>
      <c r="I891" s="11"/>
      <c r="J891" s="11"/>
      <c r="K891" s="11"/>
      <c r="L891" s="11"/>
      <c r="M891" s="11"/>
      <c r="N891" s="11"/>
      <c r="O891" s="11" t="s">
        <v>786</v>
      </c>
      <c r="P891" s="11"/>
      <c r="Q891" s="11"/>
      <c r="R891" s="11"/>
      <c r="S891" s="24" t="s">
        <v>30</v>
      </c>
      <c r="T891" s="24"/>
      <c r="U891" s="24"/>
      <c r="V891" s="24"/>
    </row>
    <row r="892" spans="1:22" ht="51">
      <c r="A892" s="10" t="s">
        <v>568</v>
      </c>
      <c r="B892" s="11" t="str">
        <f>IFERROR(VLOOKUP(A892,Systems!A:B,2,FALSE),"Various")</f>
        <v>Cooling water system</v>
      </c>
      <c r="C892" s="11" t="s">
        <v>774</v>
      </c>
      <c r="D892" s="11"/>
      <c r="E892" s="11"/>
      <c r="F892" s="24" t="s">
        <v>1064</v>
      </c>
      <c r="G892" s="38"/>
      <c r="H892" s="11"/>
      <c r="I892" s="11"/>
      <c r="J892" s="11"/>
      <c r="K892" s="11"/>
      <c r="L892" s="11"/>
      <c r="M892" s="11"/>
      <c r="N892" s="11"/>
      <c r="O892" s="11" t="s">
        <v>787</v>
      </c>
      <c r="P892" s="11"/>
      <c r="Q892" s="11"/>
      <c r="R892" s="11"/>
      <c r="S892" s="24" t="s">
        <v>30</v>
      </c>
      <c r="T892" s="24" t="s">
        <v>30</v>
      </c>
      <c r="U892" s="24" t="str">
        <f>IF(OR(NOT(H892=""),NOT(M892="")),"","x")</f>
        <v>x</v>
      </c>
      <c r="V892" s="24"/>
    </row>
    <row r="893" spans="1:22" ht="38.25">
      <c r="A893" s="10" t="s">
        <v>568</v>
      </c>
      <c r="B893" s="11" t="str">
        <f>IFERROR(VLOOKUP(A893,Systems!A:B,2,FALSE),"Various")</f>
        <v>Cooling water system</v>
      </c>
      <c r="C893" s="11" t="s">
        <v>774</v>
      </c>
      <c r="D893" s="11"/>
      <c r="E893" s="11"/>
      <c r="F893" s="24" t="s">
        <v>1064</v>
      </c>
      <c r="G893" s="38"/>
      <c r="H893" s="11"/>
      <c r="I893" s="11"/>
      <c r="J893" s="11"/>
      <c r="K893" s="11"/>
      <c r="L893" s="11"/>
      <c r="M893" s="11"/>
      <c r="N893" s="11"/>
      <c r="O893" s="11" t="s">
        <v>788</v>
      </c>
      <c r="P893" s="11"/>
      <c r="Q893" s="11"/>
      <c r="R893" s="11"/>
      <c r="S893" s="24" t="s">
        <v>30</v>
      </c>
      <c r="T893" s="24"/>
      <c r="U893" s="24"/>
      <c r="V893" s="24"/>
    </row>
    <row r="894" spans="1:22" ht="38.25">
      <c r="A894" s="10" t="s">
        <v>568</v>
      </c>
      <c r="B894" s="11" t="str">
        <f>IFERROR(VLOOKUP(A894,Systems!A:B,2,FALSE),"Various")</f>
        <v>Cooling water system</v>
      </c>
      <c r="C894" s="11" t="s">
        <v>774</v>
      </c>
      <c r="D894" s="11"/>
      <c r="E894" s="11"/>
      <c r="F894" s="24" t="s">
        <v>1064</v>
      </c>
      <c r="G894" s="38"/>
      <c r="H894" s="11"/>
      <c r="I894" s="11"/>
      <c r="J894" s="11"/>
      <c r="K894" s="11"/>
      <c r="L894" s="11"/>
      <c r="M894" s="11"/>
      <c r="N894" s="11"/>
      <c r="O894" s="11" t="s">
        <v>789</v>
      </c>
      <c r="P894" s="11"/>
      <c r="Q894" s="11"/>
      <c r="R894" s="11"/>
      <c r="S894" s="24" t="s">
        <v>30</v>
      </c>
      <c r="T894" s="24"/>
      <c r="U894" s="24"/>
      <c r="V894" s="24"/>
    </row>
    <row r="895" spans="1:22" ht="76.5">
      <c r="A895" s="10" t="s">
        <v>204</v>
      </c>
      <c r="B895" s="11" t="str">
        <f>IFERROR(VLOOKUP(A895,Systems!A:B,2,FALSE),"Various")</f>
        <v>Various</v>
      </c>
      <c r="C895" s="11" t="s">
        <v>562</v>
      </c>
      <c r="D895" s="11"/>
      <c r="E895" s="11"/>
      <c r="F895" s="24" t="s">
        <v>1064</v>
      </c>
      <c r="G895" s="38"/>
      <c r="H895" s="11"/>
      <c r="I895" s="11"/>
      <c r="J895" s="11"/>
      <c r="K895" s="11"/>
      <c r="L895" s="11"/>
      <c r="M895" s="11" t="s">
        <v>909</v>
      </c>
      <c r="N895" s="11"/>
      <c r="O895" s="11"/>
      <c r="P895" s="11"/>
      <c r="Q895" s="11"/>
      <c r="R895" s="11"/>
      <c r="S895" s="24" t="s">
        <v>30</v>
      </c>
      <c r="T895" s="24"/>
      <c r="U895" s="24"/>
      <c r="V895" s="24"/>
    </row>
    <row r="896" spans="1:22" ht="51">
      <c r="A896" s="10" t="s">
        <v>580</v>
      </c>
      <c r="B896" s="11" t="str">
        <f>IFERROR(VLOOKUP(A896,Systems!A:B,2,FALSE),"Various")</f>
        <v>Various</v>
      </c>
      <c r="C896" s="11" t="s">
        <v>563</v>
      </c>
      <c r="D896" s="11"/>
      <c r="E896" s="11"/>
      <c r="F896" s="24" t="s">
        <v>1064</v>
      </c>
      <c r="G896" s="38"/>
      <c r="H896" s="11"/>
      <c r="I896" s="11"/>
      <c r="J896" s="11"/>
      <c r="K896" s="11"/>
      <c r="L896" s="11"/>
      <c r="M896" s="11" t="s">
        <v>561</v>
      </c>
      <c r="N896" s="11"/>
      <c r="O896" s="11"/>
      <c r="P896" s="11"/>
      <c r="Q896" s="11"/>
      <c r="R896" s="11"/>
      <c r="S896" s="24" t="s">
        <v>30</v>
      </c>
      <c r="T896" s="24"/>
      <c r="U896" s="24"/>
      <c r="V896" s="24"/>
    </row>
    <row r="897" spans="1:22" ht="51">
      <c r="A897" s="10" t="s">
        <v>580</v>
      </c>
      <c r="B897" s="11" t="str">
        <f>IFERROR(VLOOKUP(A897,Systems!A:B,2,FALSE),"Various")</f>
        <v>Various</v>
      </c>
      <c r="C897" s="11" t="s">
        <v>564</v>
      </c>
      <c r="D897" s="11"/>
      <c r="E897" s="11"/>
      <c r="F897" s="24" t="s">
        <v>1064</v>
      </c>
      <c r="G897" s="38"/>
      <c r="H897" s="11"/>
      <c r="I897" s="11"/>
      <c r="J897" s="11"/>
      <c r="K897" s="11"/>
      <c r="L897" s="11"/>
      <c r="M897" s="11" t="s">
        <v>565</v>
      </c>
      <c r="N897" s="11"/>
      <c r="O897" s="11"/>
      <c r="P897" s="11"/>
      <c r="Q897" s="11"/>
      <c r="R897" s="11"/>
      <c r="S897" s="24" t="s">
        <v>30</v>
      </c>
      <c r="T897" s="24"/>
      <c r="U897" s="24"/>
      <c r="V897" s="24"/>
    </row>
    <row r="898" spans="1:22" ht="89.25">
      <c r="A898" s="10" t="s">
        <v>517</v>
      </c>
      <c r="B898" s="11" t="str">
        <f>IFERROR(VLOOKUP(A898,Systems!A:B,2,FALSE),"Various")</f>
        <v>Various</v>
      </c>
      <c r="C898" s="11" t="s">
        <v>91</v>
      </c>
      <c r="D898" s="11"/>
      <c r="E898" s="11"/>
      <c r="F898" s="24" t="s">
        <v>1064</v>
      </c>
      <c r="G898" s="38"/>
      <c r="H898" s="11"/>
      <c r="I898" s="11"/>
      <c r="J898" s="11"/>
      <c r="K898" s="11"/>
      <c r="L898" s="11"/>
      <c r="M898" s="11" t="s">
        <v>514</v>
      </c>
      <c r="N898" s="11"/>
      <c r="O898" s="11"/>
      <c r="P898" s="11"/>
      <c r="Q898" s="11"/>
      <c r="R898" s="11"/>
      <c r="S898" s="24" t="s">
        <v>30</v>
      </c>
      <c r="T898" s="24"/>
      <c r="U898" s="24"/>
      <c r="V898" s="24"/>
    </row>
    <row r="899" spans="1:22" ht="127.5">
      <c r="A899" s="10" t="s">
        <v>569</v>
      </c>
      <c r="B899" s="11" t="str">
        <f>IFERROR(VLOOKUP(A899,Systems!A:B,2,FALSE),"Various")</f>
        <v>Sea water cooling system</v>
      </c>
      <c r="C899" s="11" t="s">
        <v>361</v>
      </c>
      <c r="D899" s="11"/>
      <c r="E899" s="11"/>
      <c r="F899" s="24" t="s">
        <v>1064</v>
      </c>
      <c r="G899" s="38"/>
      <c r="H899" s="11"/>
      <c r="I899" s="11"/>
      <c r="J899" s="11"/>
      <c r="K899" s="11"/>
      <c r="L899" s="11"/>
      <c r="M899" s="11" t="s">
        <v>898</v>
      </c>
      <c r="N899" s="11"/>
      <c r="O899" s="11"/>
      <c r="P899" s="11"/>
      <c r="Q899" s="11"/>
      <c r="R899" s="11"/>
      <c r="S899" s="24" t="s">
        <v>30</v>
      </c>
      <c r="T899" s="24"/>
      <c r="U899" s="24"/>
      <c r="V899" s="24"/>
    </row>
    <row r="900" spans="1:22" ht="178.5">
      <c r="A900" s="10" t="s">
        <v>1194</v>
      </c>
      <c r="B900" s="11" t="str">
        <f>IFERROR(VLOOKUP(A900,Systems!A:B,2,FALSE),"Various")</f>
        <v>Various</v>
      </c>
      <c r="C900" s="11" t="s">
        <v>878</v>
      </c>
      <c r="D900" s="11"/>
      <c r="E900" s="11"/>
      <c r="F900" s="24" t="s">
        <v>1064</v>
      </c>
      <c r="G900" s="38"/>
      <c r="H900" s="11"/>
      <c r="I900" s="11"/>
      <c r="J900" s="11"/>
      <c r="K900" s="11"/>
      <c r="L900" s="11"/>
      <c r="M900" s="11"/>
      <c r="N900" s="11" t="s">
        <v>1193</v>
      </c>
      <c r="O900" s="11"/>
      <c r="P900" s="11"/>
      <c r="Q900" s="11"/>
      <c r="R900" s="11"/>
      <c r="S900" s="24" t="s">
        <v>30</v>
      </c>
      <c r="T900" s="24"/>
      <c r="U900" s="24"/>
      <c r="V900" s="24"/>
    </row>
    <row r="901" spans="1:22" ht="102">
      <c r="A901" s="10" t="s">
        <v>573</v>
      </c>
      <c r="B901" s="11" t="str">
        <f>IFERROR(VLOOKUP(A901,Systems!A:B,2,FALSE),"Various")</f>
        <v>Fresh water supply system</v>
      </c>
      <c r="C901" s="11" t="s">
        <v>103</v>
      </c>
      <c r="D901" s="11"/>
      <c r="E901" s="11"/>
      <c r="F901" s="24" t="s">
        <v>1064</v>
      </c>
      <c r="G901" s="38"/>
      <c r="H901" s="11"/>
      <c r="I901" s="11"/>
      <c r="J901" s="11"/>
      <c r="K901" s="11"/>
      <c r="L901" s="11"/>
      <c r="M901" s="11"/>
      <c r="N901" s="11"/>
      <c r="O901" s="11"/>
      <c r="P901" s="11" t="s">
        <v>360</v>
      </c>
      <c r="Q901" s="11"/>
      <c r="R901" s="11"/>
      <c r="S901" s="24" t="s">
        <v>30</v>
      </c>
      <c r="T901" s="24"/>
      <c r="U901" s="24"/>
      <c r="V901" s="24"/>
    </row>
    <row r="902" spans="1:22" ht="38.25">
      <c r="A902" s="10" t="s">
        <v>573</v>
      </c>
      <c r="B902" s="11" t="str">
        <f>IFERROR(VLOOKUP(A902,Systems!A:B,2,FALSE),"Various")</f>
        <v>Fresh water supply system</v>
      </c>
      <c r="C902" s="11" t="s">
        <v>54</v>
      </c>
      <c r="D902" s="11"/>
      <c r="E902" s="11"/>
      <c r="F902" s="24" t="s">
        <v>1064</v>
      </c>
      <c r="G902" s="38"/>
      <c r="H902" s="11"/>
      <c r="I902" s="11"/>
      <c r="J902" s="11"/>
      <c r="K902" s="11"/>
      <c r="L902" s="11"/>
      <c r="M902" s="11"/>
      <c r="N902" s="11"/>
      <c r="O902" s="11"/>
      <c r="P902" s="11" t="s">
        <v>363</v>
      </c>
      <c r="Q902" s="11"/>
      <c r="R902" s="11"/>
      <c r="S902" s="34"/>
      <c r="T902" s="34"/>
      <c r="U902" s="34"/>
      <c r="V902" s="34"/>
    </row>
    <row r="903" spans="1:22" ht="140.25">
      <c r="A903" s="10" t="s">
        <v>573</v>
      </c>
      <c r="B903" s="11" t="str">
        <f>IFERROR(VLOOKUP(A903,Systems!A:B,2,FALSE),"Various")</f>
        <v>Fresh water supply system</v>
      </c>
      <c r="C903" s="11" t="s">
        <v>49</v>
      </c>
      <c r="D903" s="11"/>
      <c r="E903" s="11"/>
      <c r="F903" s="24" t="s">
        <v>1064</v>
      </c>
      <c r="G903" s="38"/>
      <c r="H903" s="11"/>
      <c r="I903" s="11"/>
      <c r="J903" s="11"/>
      <c r="K903" s="11"/>
      <c r="L903" s="11"/>
      <c r="M903" s="11" t="s">
        <v>364</v>
      </c>
      <c r="N903" s="11"/>
      <c r="O903" s="11"/>
      <c r="P903" s="11"/>
      <c r="Q903" s="11"/>
      <c r="R903" s="11"/>
      <c r="S903" s="24" t="s">
        <v>30</v>
      </c>
      <c r="T903" s="24"/>
      <c r="U903" s="24"/>
      <c r="V903" s="24"/>
    </row>
    <row r="904" spans="1:22" ht="140.25">
      <c r="A904" s="10" t="s">
        <v>573</v>
      </c>
      <c r="B904" s="11" t="str">
        <f>IFERROR(VLOOKUP(A904,Systems!A:B,2,FALSE),"Various")</f>
        <v>Fresh water supply system</v>
      </c>
      <c r="C904" s="11" t="s">
        <v>115</v>
      </c>
      <c r="D904" s="11"/>
      <c r="E904" s="11"/>
      <c r="F904" s="24" t="s">
        <v>1064</v>
      </c>
      <c r="G904" s="38"/>
      <c r="H904" s="11"/>
      <c r="I904" s="11"/>
      <c r="J904" s="11"/>
      <c r="K904" s="11"/>
      <c r="L904" s="11"/>
      <c r="M904" s="11" t="s">
        <v>365</v>
      </c>
      <c r="N904" s="11"/>
      <c r="O904" s="11"/>
      <c r="P904" s="11"/>
      <c r="Q904" s="11"/>
      <c r="R904" s="11"/>
      <c r="S904" s="24" t="s">
        <v>30</v>
      </c>
      <c r="T904" s="24"/>
      <c r="U904" s="24"/>
      <c r="V904" s="24"/>
    </row>
    <row r="905" spans="1:22" ht="63.75">
      <c r="A905" s="10" t="s">
        <v>573</v>
      </c>
      <c r="B905" s="11" t="str">
        <f>IFERROR(VLOOKUP(A905,Systems!A:B,2,FALSE),"Various")</f>
        <v>Fresh water supply system</v>
      </c>
      <c r="C905" s="11" t="s">
        <v>116</v>
      </c>
      <c r="D905" s="11"/>
      <c r="E905" s="11"/>
      <c r="F905" s="24" t="s">
        <v>1064</v>
      </c>
      <c r="G905" s="38"/>
      <c r="H905" s="11"/>
      <c r="I905" s="11"/>
      <c r="J905" s="11"/>
      <c r="K905" s="11"/>
      <c r="L905" s="11"/>
      <c r="M905" s="11" t="s">
        <v>366</v>
      </c>
      <c r="N905" s="11"/>
      <c r="O905" s="11"/>
      <c r="P905" s="11"/>
      <c r="Q905" s="11"/>
      <c r="R905" s="11"/>
      <c r="S905" s="24" t="s">
        <v>30</v>
      </c>
      <c r="T905" s="24"/>
      <c r="U905" s="24" t="str">
        <f>IF(OR(NOT(H905=""),NOT(M905="")),"","x")</f>
        <v/>
      </c>
      <c r="V905" s="24"/>
    </row>
    <row r="906" spans="1:22" ht="280.5">
      <c r="A906" s="10" t="s">
        <v>573</v>
      </c>
      <c r="B906" s="11" t="str">
        <f>IFERROR(VLOOKUP(A906,Systems!A:B,2,FALSE),"Various")</f>
        <v>Fresh water supply system</v>
      </c>
      <c r="C906" s="11" t="s">
        <v>895</v>
      </c>
      <c r="D906" s="11"/>
      <c r="E906" s="11"/>
      <c r="F906" s="24" t="s">
        <v>1064</v>
      </c>
      <c r="G906" s="38"/>
      <c r="H906" s="11"/>
      <c r="I906" s="11"/>
      <c r="J906" s="11"/>
      <c r="K906" s="11"/>
      <c r="L906" s="11"/>
      <c r="M906" s="11"/>
      <c r="N906" s="11" t="s">
        <v>894</v>
      </c>
      <c r="O906" s="11"/>
      <c r="P906" s="11"/>
      <c r="Q906" s="11"/>
      <c r="R906" s="11"/>
      <c r="S906" s="24" t="s">
        <v>30</v>
      </c>
      <c r="T906" s="24"/>
      <c r="U906" s="24"/>
      <c r="V906" s="24"/>
    </row>
    <row r="907" spans="1:22" ht="165.75">
      <c r="A907" s="10" t="s">
        <v>573</v>
      </c>
      <c r="B907" s="11" t="str">
        <f>IFERROR(VLOOKUP(A907,Systems!A:B,2,FALSE),"Various")</f>
        <v>Fresh water supply system</v>
      </c>
      <c r="C907" s="11" t="s">
        <v>896</v>
      </c>
      <c r="D907" s="11"/>
      <c r="E907" s="11"/>
      <c r="F907" s="24" t="s">
        <v>1064</v>
      </c>
      <c r="G907" s="38"/>
      <c r="H907" s="11"/>
      <c r="I907" s="11"/>
      <c r="J907" s="11"/>
      <c r="K907" s="11"/>
      <c r="L907" s="11"/>
      <c r="M907" s="11"/>
      <c r="N907" s="11" t="s">
        <v>897</v>
      </c>
      <c r="O907" s="11"/>
      <c r="P907" s="11"/>
      <c r="Q907" s="11"/>
      <c r="R907" s="11"/>
      <c r="S907" s="24" t="s">
        <v>30</v>
      </c>
      <c r="T907" s="24"/>
      <c r="U907" s="24"/>
      <c r="V907" s="24"/>
    </row>
    <row r="908" spans="1:22" ht="165.75">
      <c r="A908" s="10" t="s">
        <v>209</v>
      </c>
      <c r="B908" s="11" t="str">
        <f>IFERROR(VLOOKUP(A908,Systems!A:B,2,FALSE),"Various")</f>
        <v>Various</v>
      </c>
      <c r="C908" s="12" t="s">
        <v>151</v>
      </c>
      <c r="D908" s="12"/>
      <c r="E908" s="12"/>
      <c r="F908" s="10" t="s">
        <v>1064</v>
      </c>
      <c r="G908" s="39"/>
      <c r="H908" s="11"/>
      <c r="I908" s="11"/>
      <c r="J908" s="11"/>
      <c r="K908" s="11"/>
      <c r="L908" s="11"/>
      <c r="M908" s="11" t="s">
        <v>921</v>
      </c>
      <c r="N908" s="11"/>
      <c r="O908" s="11"/>
      <c r="P908" s="11"/>
      <c r="Q908" s="11"/>
      <c r="R908" s="11"/>
      <c r="S908" s="24" t="s">
        <v>30</v>
      </c>
      <c r="T908" s="24"/>
      <c r="U908" s="24"/>
      <c r="V908" s="24"/>
    </row>
    <row r="909" spans="1:22" ht="89.25">
      <c r="A909" s="10" t="s">
        <v>209</v>
      </c>
      <c r="B909" s="11" t="str">
        <f>IFERROR(VLOOKUP(A909,Systems!A:B,2,FALSE),"Various")</f>
        <v>Various</v>
      </c>
      <c r="C909" s="12" t="s">
        <v>151</v>
      </c>
      <c r="D909" s="12"/>
      <c r="E909" s="12"/>
      <c r="F909" s="10" t="s">
        <v>1064</v>
      </c>
      <c r="G909" s="39"/>
      <c r="H909" s="11"/>
      <c r="I909" s="11"/>
      <c r="J909" s="11"/>
      <c r="K909" s="11"/>
      <c r="L909" s="11"/>
      <c r="M909" s="11" t="s">
        <v>920</v>
      </c>
      <c r="N909" s="11"/>
      <c r="O909" s="11"/>
      <c r="P909" s="11"/>
      <c r="Q909" s="11"/>
      <c r="R909" s="11"/>
      <c r="S909" s="24" t="s">
        <v>30</v>
      </c>
      <c r="T909" s="24"/>
      <c r="U909" s="24"/>
      <c r="V909" s="24"/>
    </row>
    <row r="910" spans="1:22" ht="114.75">
      <c r="A910" s="10" t="s">
        <v>209</v>
      </c>
      <c r="B910" s="11" t="str">
        <f>IFERROR(VLOOKUP(A910,Systems!A:B,2,FALSE),"Various")</f>
        <v>Various</v>
      </c>
      <c r="C910" s="11" t="s">
        <v>152</v>
      </c>
      <c r="D910" s="11"/>
      <c r="E910" s="11"/>
      <c r="F910" s="24" t="s">
        <v>1064</v>
      </c>
      <c r="G910" s="38"/>
      <c r="H910" s="11"/>
      <c r="I910" s="11"/>
      <c r="J910" s="11"/>
      <c r="K910" s="11"/>
      <c r="L910" s="11"/>
      <c r="M910" s="11" t="s">
        <v>923</v>
      </c>
      <c r="N910" s="11"/>
      <c r="O910" s="11"/>
      <c r="P910" s="11"/>
      <c r="Q910" s="11"/>
      <c r="R910" s="11"/>
      <c r="S910" s="24" t="s">
        <v>30</v>
      </c>
      <c r="T910" s="24"/>
      <c r="U910" s="24" t="str">
        <f>IF(OR(NOT(H910=""),NOT(M910="")),"","x")</f>
        <v/>
      </c>
      <c r="V910" s="24"/>
    </row>
    <row r="911" spans="1:22" ht="165.75">
      <c r="A911" s="10" t="s">
        <v>209</v>
      </c>
      <c r="B911" s="11" t="str">
        <f>IFERROR(VLOOKUP(A911,Systems!A:B,2,FALSE),"Various")</f>
        <v>Various</v>
      </c>
      <c r="C911" s="11" t="s">
        <v>152</v>
      </c>
      <c r="D911" s="11"/>
      <c r="E911" s="11"/>
      <c r="F911" s="24" t="s">
        <v>1064</v>
      </c>
      <c r="G911" s="38"/>
      <c r="H911" s="11"/>
      <c r="I911" s="11"/>
      <c r="J911" s="11"/>
      <c r="K911" s="11"/>
      <c r="L911" s="11"/>
      <c r="M911" s="11" t="s">
        <v>922</v>
      </c>
      <c r="N911" s="11"/>
      <c r="O911" s="11"/>
      <c r="P911" s="11"/>
      <c r="Q911" s="11"/>
      <c r="R911" s="11"/>
      <c r="S911" s="24"/>
      <c r="T911" s="24"/>
      <c r="U911" s="24"/>
      <c r="V911" s="24"/>
    </row>
    <row r="912" spans="1:22" ht="76.5">
      <c r="A912" s="10" t="s">
        <v>209</v>
      </c>
      <c r="B912" s="11" t="str">
        <f>IFERROR(VLOOKUP(A912,Systems!A:B,2,FALSE),"Various")</f>
        <v>Various</v>
      </c>
      <c r="C912" s="11" t="s">
        <v>582</v>
      </c>
      <c r="D912" s="11"/>
      <c r="E912" s="11"/>
      <c r="F912" s="24" t="s">
        <v>1064</v>
      </c>
      <c r="G912" s="38"/>
      <c r="H912" s="11"/>
      <c r="I912" s="11"/>
      <c r="J912" s="11"/>
      <c r="K912" s="11"/>
      <c r="L912" s="11"/>
      <c r="M912" s="11" t="s">
        <v>581</v>
      </c>
      <c r="N912" s="11"/>
      <c r="O912" s="11"/>
      <c r="P912" s="11"/>
      <c r="Q912" s="11"/>
      <c r="R912" s="11"/>
      <c r="S912" s="24"/>
      <c r="T912" s="24"/>
      <c r="U912" s="24"/>
      <c r="V912" s="24"/>
    </row>
    <row r="913" spans="1:22" ht="89.25">
      <c r="A913" s="10" t="s">
        <v>209</v>
      </c>
      <c r="B913" s="11" t="str">
        <f>IFERROR(VLOOKUP(A913,Systems!A:B,2,FALSE),"Various")</f>
        <v>Various</v>
      </c>
      <c r="C913" s="11" t="s">
        <v>153</v>
      </c>
      <c r="D913" s="11"/>
      <c r="E913" s="11"/>
      <c r="F913" s="24" t="s">
        <v>1064</v>
      </c>
      <c r="G913" s="38"/>
      <c r="H913" s="11"/>
      <c r="I913" s="11"/>
      <c r="J913" s="11"/>
      <c r="K913" s="11"/>
      <c r="L913" s="11"/>
      <c r="M913" s="11" t="s">
        <v>583</v>
      </c>
      <c r="N913" s="11"/>
      <c r="O913" s="11"/>
      <c r="P913" s="11"/>
      <c r="Q913" s="11"/>
      <c r="R913" s="11"/>
      <c r="S913" s="24"/>
      <c r="T913" s="24" t="s">
        <v>30</v>
      </c>
      <c r="U913" s="24" t="str">
        <f>IF(OR(NOT(H913=""),NOT(M913="")),"","x")</f>
        <v/>
      </c>
      <c r="V913" s="24"/>
    </row>
    <row r="914" spans="1:22" ht="63.75">
      <c r="A914" s="10" t="s">
        <v>209</v>
      </c>
      <c r="B914" s="11" t="str">
        <f>IFERROR(VLOOKUP(A914,Systems!A:B,2,FALSE),"Various")</f>
        <v>Various</v>
      </c>
      <c r="C914" s="11" t="s">
        <v>156</v>
      </c>
      <c r="D914" s="11"/>
      <c r="E914" s="11"/>
      <c r="F914" s="24" t="s">
        <v>1064</v>
      </c>
      <c r="G914" s="38"/>
      <c r="H914" s="11"/>
      <c r="I914" s="11"/>
      <c r="J914" s="11"/>
      <c r="K914" s="11"/>
      <c r="L914" s="11"/>
      <c r="M914" s="11" t="s">
        <v>584</v>
      </c>
      <c r="N914" s="11"/>
      <c r="O914" s="11"/>
      <c r="P914" s="11"/>
      <c r="Q914" s="11"/>
      <c r="R914" s="11"/>
      <c r="S914" s="24" t="s">
        <v>30</v>
      </c>
      <c r="T914" s="24"/>
      <c r="U914" s="24" t="str">
        <f>IF(OR(NOT(H914=""),NOT(M914="")),"","x")</f>
        <v/>
      </c>
      <c r="V914" s="24"/>
    </row>
    <row r="915" spans="1:22" ht="38.25">
      <c r="A915" s="10" t="s">
        <v>209</v>
      </c>
      <c r="B915" s="11" t="str">
        <f>IFERROR(VLOOKUP(A915,Systems!A:B,2,FALSE),"Various")</f>
        <v>Various</v>
      </c>
      <c r="C915" s="11" t="s">
        <v>158</v>
      </c>
      <c r="D915" s="11"/>
      <c r="E915" s="11"/>
      <c r="F915" s="24" t="s">
        <v>1064</v>
      </c>
      <c r="G915" s="38"/>
      <c r="H915" s="11"/>
      <c r="I915" s="11"/>
      <c r="J915" s="11"/>
      <c r="K915" s="11"/>
      <c r="L915" s="11"/>
      <c r="M915" s="11" t="s">
        <v>585</v>
      </c>
      <c r="N915" s="11"/>
      <c r="O915" s="11"/>
      <c r="P915" s="11"/>
      <c r="Q915" s="11"/>
      <c r="R915" s="11"/>
      <c r="S915" s="24" t="s">
        <v>30</v>
      </c>
      <c r="T915" s="24"/>
      <c r="U915" s="24" t="str">
        <f>IF(OR(NOT(H915=""),NOT(M915="")),"","x")</f>
        <v/>
      </c>
      <c r="V915" s="24"/>
    </row>
    <row r="916" spans="1:22" ht="89.25">
      <c r="A916" s="10" t="s">
        <v>209</v>
      </c>
      <c r="B916" s="11" t="str">
        <f>IFERROR(VLOOKUP(A916,Systems!A:B,2,FALSE),"Various")</f>
        <v>Various</v>
      </c>
      <c r="C916" s="11" t="s">
        <v>159</v>
      </c>
      <c r="D916" s="11"/>
      <c r="E916" s="11"/>
      <c r="F916" s="24" t="s">
        <v>1064</v>
      </c>
      <c r="G916" s="38"/>
      <c r="H916" s="11"/>
      <c r="I916" s="11"/>
      <c r="J916" s="11"/>
      <c r="K916" s="11"/>
      <c r="L916" s="11"/>
      <c r="M916" s="11" t="s">
        <v>586</v>
      </c>
      <c r="N916" s="11"/>
      <c r="O916" s="11"/>
      <c r="P916" s="11"/>
      <c r="Q916" s="11"/>
      <c r="R916" s="11"/>
      <c r="S916" s="24" t="s">
        <v>30</v>
      </c>
      <c r="T916" s="24"/>
      <c r="U916" s="24" t="str">
        <f>IF(OR(NOT(H916=""),NOT(M916="")),"","x")</f>
        <v/>
      </c>
      <c r="V916" s="24"/>
    </row>
    <row r="917" spans="1:22" ht="51">
      <c r="A917" s="10" t="s">
        <v>209</v>
      </c>
      <c r="B917" s="11" t="str">
        <f>IFERROR(VLOOKUP(A917,Systems!A:B,2,FALSE),"Various")</f>
        <v>Various</v>
      </c>
      <c r="C917" s="11" t="s">
        <v>160</v>
      </c>
      <c r="D917" s="11"/>
      <c r="E917" s="11"/>
      <c r="F917" s="24" t="s">
        <v>1064</v>
      </c>
      <c r="G917" s="38"/>
      <c r="H917" s="11"/>
      <c r="I917" s="11"/>
      <c r="J917" s="11"/>
      <c r="K917" s="11"/>
      <c r="L917" s="11"/>
      <c r="M917" s="11" t="s">
        <v>587</v>
      </c>
      <c r="N917" s="11"/>
      <c r="O917" s="11"/>
      <c r="P917" s="11"/>
      <c r="Q917" s="11"/>
      <c r="R917" s="11"/>
      <c r="S917" s="24" t="s">
        <v>30</v>
      </c>
      <c r="T917" s="24"/>
      <c r="U917" s="24" t="str">
        <f>IF(OR(NOT(H917=""),NOT(M917="")),"","x")</f>
        <v/>
      </c>
      <c r="V917" s="24"/>
    </row>
    <row r="918" spans="1:22" ht="38.25">
      <c r="A918" s="10" t="s">
        <v>209</v>
      </c>
      <c r="B918" s="11" t="str">
        <f>IFERROR(VLOOKUP(A918,Systems!A:B,2,FALSE),"Various")</f>
        <v>Various</v>
      </c>
      <c r="C918" s="11" t="s">
        <v>174</v>
      </c>
      <c r="D918" s="11"/>
      <c r="E918" s="11"/>
      <c r="F918" s="24" t="s">
        <v>1064</v>
      </c>
      <c r="G918" s="38"/>
      <c r="H918" s="11"/>
      <c r="I918" s="11"/>
      <c r="J918" s="11"/>
      <c r="K918" s="11"/>
      <c r="L918" s="11"/>
      <c r="M918" s="11" t="s">
        <v>588</v>
      </c>
      <c r="N918" s="11"/>
      <c r="O918" s="11"/>
      <c r="P918" s="11"/>
      <c r="Q918" s="11"/>
      <c r="R918" s="11"/>
      <c r="S918" s="24"/>
      <c r="T918" s="24"/>
      <c r="U918" s="24"/>
      <c r="V918" s="24"/>
    </row>
    <row r="919" spans="1:22" ht="38.25">
      <c r="A919" s="10" t="s">
        <v>211</v>
      </c>
      <c r="B919" s="11" t="str">
        <f>IFERROR(VLOOKUP(A919,Systems!A:B,2,FALSE),"Various")</f>
        <v>Various</v>
      </c>
      <c r="C919" s="11" t="s">
        <v>174</v>
      </c>
      <c r="D919" s="11"/>
      <c r="E919" s="11"/>
      <c r="F919" s="24" t="s">
        <v>1064</v>
      </c>
      <c r="G919" s="38"/>
      <c r="H919" s="11"/>
      <c r="I919" s="11"/>
      <c r="J919" s="11"/>
      <c r="K919" s="11"/>
      <c r="L919" s="11"/>
      <c r="M919" s="11" t="s">
        <v>589</v>
      </c>
      <c r="N919" s="11"/>
      <c r="O919" s="11"/>
      <c r="P919" s="11"/>
      <c r="Q919" s="11"/>
      <c r="R919" s="11"/>
      <c r="S919" s="24"/>
      <c r="T919" s="24"/>
      <c r="U919" s="24"/>
      <c r="V919" s="24"/>
    </row>
    <row r="920" spans="1:22" ht="140.25">
      <c r="A920" s="10" t="s">
        <v>1812</v>
      </c>
      <c r="B920" s="11" t="str">
        <f>IFERROR(VLOOKUP(A920,Systems!A:B,2,FALSE),"Various")</f>
        <v>Various</v>
      </c>
      <c r="C920" s="11" t="s">
        <v>368</v>
      </c>
      <c r="D920" s="11"/>
      <c r="E920" s="11"/>
      <c r="F920" s="24" t="s">
        <v>1064</v>
      </c>
      <c r="G920" s="38"/>
      <c r="H920" s="11"/>
      <c r="I920" s="11"/>
      <c r="J920" s="11"/>
      <c r="K920" s="11"/>
      <c r="L920" s="11"/>
      <c r="M920" s="11" t="s">
        <v>901</v>
      </c>
      <c r="N920" s="11"/>
      <c r="O920" s="11"/>
      <c r="P920" s="11" t="s">
        <v>359</v>
      </c>
      <c r="Q920" s="11"/>
      <c r="R920" s="11"/>
      <c r="S920" s="24" t="s">
        <v>30</v>
      </c>
      <c r="T920" s="24"/>
      <c r="U920" s="24" t="str">
        <f>IF(OR(NOT(H920=""),NOT(M920="")),"","x")</f>
        <v/>
      </c>
      <c r="V920" s="24"/>
    </row>
    <row r="921" spans="1:22" ht="63.75">
      <c r="A921" s="10" t="s">
        <v>574</v>
      </c>
      <c r="B921" s="11" t="str">
        <f>IFERROR(VLOOKUP(A921,Systems!A:B,2,FALSE),"Various")</f>
        <v>Sea water supply system</v>
      </c>
      <c r="C921" s="11" t="s">
        <v>114</v>
      </c>
      <c r="D921" s="11"/>
      <c r="E921" s="11"/>
      <c r="F921" s="24" t="s">
        <v>1064</v>
      </c>
      <c r="G921" s="38"/>
      <c r="H921" s="11"/>
      <c r="I921" s="11"/>
      <c r="J921" s="11"/>
      <c r="K921" s="11"/>
      <c r="L921" s="11"/>
      <c r="M921" s="11" t="s">
        <v>367</v>
      </c>
      <c r="N921" s="11"/>
      <c r="O921" s="11"/>
      <c r="P921" s="11"/>
      <c r="Q921" s="11"/>
      <c r="R921" s="11"/>
      <c r="S921" s="24" t="s">
        <v>30</v>
      </c>
      <c r="T921" s="24"/>
      <c r="U921" s="24" t="str">
        <f>IF(OR(NOT(H921=""),NOT(M921="")),"","x")</f>
        <v/>
      </c>
      <c r="V921" s="24"/>
    </row>
    <row r="922" spans="1:22" ht="51">
      <c r="A922" s="10" t="s">
        <v>155</v>
      </c>
      <c r="B922" s="11" t="str">
        <f>IFERROR(VLOOKUP(A922,Systems!A:B,2,FALSE),"Various")</f>
        <v>Sanitary gravity discharge system</v>
      </c>
      <c r="C922" s="11" t="s">
        <v>134</v>
      </c>
      <c r="D922" s="11"/>
      <c r="E922" s="11"/>
      <c r="F922" s="24" t="s">
        <v>1064</v>
      </c>
      <c r="G922" s="38"/>
      <c r="H922" s="11"/>
      <c r="I922" s="11"/>
      <c r="J922" s="11"/>
      <c r="K922" s="11"/>
      <c r="L922" s="11"/>
      <c r="M922" s="11" t="s">
        <v>371</v>
      </c>
      <c r="N922" s="11"/>
      <c r="O922" s="11"/>
      <c r="P922" s="11"/>
      <c r="Q922" s="11"/>
      <c r="R922" s="11"/>
      <c r="S922" s="24" t="s">
        <v>30</v>
      </c>
      <c r="T922" s="24"/>
      <c r="U922" s="24" t="str">
        <f>IF(OR(NOT(H922=""),NOT(M922="")),"","x")</f>
        <v/>
      </c>
      <c r="V922" s="24"/>
    </row>
    <row r="923" spans="1:22" ht="153">
      <c r="A923" s="10" t="s">
        <v>155</v>
      </c>
      <c r="B923" s="11" t="str">
        <f>IFERROR(VLOOKUP(A923,Systems!A:B,2,FALSE),"Various")</f>
        <v>Sanitary gravity discharge system</v>
      </c>
      <c r="C923" s="11" t="s">
        <v>103</v>
      </c>
      <c r="D923" s="11"/>
      <c r="E923" s="11"/>
      <c r="F923" s="24" t="s">
        <v>1064</v>
      </c>
      <c r="G923" s="38"/>
      <c r="H923" s="11"/>
      <c r="I923" s="11"/>
      <c r="J923" s="11"/>
      <c r="K923" s="11"/>
      <c r="L923" s="11"/>
      <c r="M923" s="11" t="s">
        <v>372</v>
      </c>
      <c r="N923" s="11"/>
      <c r="O923" s="11"/>
      <c r="P923" s="11"/>
      <c r="Q923" s="11"/>
      <c r="R923" s="11"/>
      <c r="S923" s="24" t="s">
        <v>30</v>
      </c>
      <c r="T923" s="24"/>
      <c r="U923" s="24" t="str">
        <f>IF(OR(NOT(H923=""),NOT(M923="")),"","x")</f>
        <v/>
      </c>
      <c r="V923" s="24"/>
    </row>
    <row r="924" spans="1:22" ht="51">
      <c r="A924" s="10" t="s">
        <v>155</v>
      </c>
      <c r="B924" s="11" t="str">
        <f>IFERROR(VLOOKUP(A924,Systems!A:B,2,FALSE),"Various")</f>
        <v>Sanitary gravity discharge system</v>
      </c>
      <c r="C924" s="11" t="s">
        <v>154</v>
      </c>
      <c r="D924" s="11"/>
      <c r="E924" s="11"/>
      <c r="F924" s="24" t="s">
        <v>1064</v>
      </c>
      <c r="G924" s="38"/>
      <c r="H924" s="11"/>
      <c r="I924" s="11"/>
      <c r="J924" s="11"/>
      <c r="K924" s="11"/>
      <c r="L924" s="11"/>
      <c r="M924" s="11" t="s">
        <v>590</v>
      </c>
      <c r="N924" s="11"/>
      <c r="O924" s="11"/>
      <c r="P924" s="11"/>
      <c r="Q924" s="11"/>
      <c r="R924" s="11"/>
      <c r="S924" s="24" t="s">
        <v>30</v>
      </c>
      <c r="T924" s="24"/>
      <c r="U924" s="24"/>
      <c r="V924" s="24"/>
    </row>
    <row r="925" spans="1:22" ht="25.5">
      <c r="A925" s="10" t="s">
        <v>913</v>
      </c>
      <c r="B925" s="11" t="str">
        <f>IFERROR(VLOOKUP(A925,Systems!A:B,2,FALSE),"Various")</f>
        <v>Various</v>
      </c>
      <c r="C925" s="11" t="s">
        <v>914</v>
      </c>
      <c r="D925" s="11"/>
      <c r="E925" s="11"/>
      <c r="F925" s="24" t="s">
        <v>1064</v>
      </c>
      <c r="G925" s="38"/>
      <c r="H925" s="11"/>
      <c r="I925" s="11"/>
      <c r="J925" s="11"/>
      <c r="K925" s="11"/>
      <c r="L925" s="11"/>
      <c r="M925" s="11" t="s">
        <v>916</v>
      </c>
      <c r="N925" s="11"/>
      <c r="O925" s="11"/>
      <c r="P925" s="11"/>
      <c r="Q925" s="11"/>
      <c r="R925" s="11"/>
      <c r="S925" s="24" t="s">
        <v>30</v>
      </c>
      <c r="T925" s="24"/>
      <c r="U925" s="24"/>
      <c r="V925" s="24"/>
    </row>
    <row r="926" spans="1:22" ht="76.5">
      <c r="A926" s="10" t="s">
        <v>576</v>
      </c>
      <c r="B926" s="11" t="str">
        <f>IFERROR(VLOOKUP(A926,Systems!A:B,2,FALSE),"Various")</f>
        <v>Waste water system</v>
      </c>
      <c r="C926" s="11" t="s">
        <v>375</v>
      </c>
      <c r="D926" s="11"/>
      <c r="E926" s="11"/>
      <c r="F926" s="24" t="s">
        <v>1064</v>
      </c>
      <c r="G926" s="38"/>
      <c r="H926" s="11"/>
      <c r="I926" s="11"/>
      <c r="J926" s="11"/>
      <c r="K926" s="11"/>
      <c r="L926" s="11"/>
      <c r="M926" s="11" t="s">
        <v>373</v>
      </c>
      <c r="N926" s="11"/>
      <c r="O926" s="11"/>
      <c r="P926" s="11"/>
      <c r="Q926" s="11"/>
      <c r="R926" s="11"/>
      <c r="S926" s="24" t="s">
        <v>30</v>
      </c>
      <c r="T926" s="24"/>
      <c r="U926" s="24"/>
      <c r="V926" s="24"/>
    </row>
    <row r="927" spans="1:22" ht="76.5">
      <c r="A927" s="10" t="s">
        <v>576</v>
      </c>
      <c r="B927" s="11" t="str">
        <f>IFERROR(VLOOKUP(A927,Systems!A:B,2,FALSE),"Various")</f>
        <v>Waste water system</v>
      </c>
      <c r="C927" s="11" t="s">
        <v>376</v>
      </c>
      <c r="D927" s="11"/>
      <c r="E927" s="11"/>
      <c r="F927" s="24" t="s">
        <v>1064</v>
      </c>
      <c r="G927" s="38"/>
      <c r="H927" s="11"/>
      <c r="I927" s="11"/>
      <c r="J927" s="11"/>
      <c r="K927" s="11"/>
      <c r="L927" s="11"/>
      <c r="M927" s="11" t="s">
        <v>902</v>
      </c>
      <c r="N927" s="11"/>
      <c r="O927" s="11"/>
      <c r="P927" s="11"/>
      <c r="Q927" s="11"/>
      <c r="R927" s="11"/>
      <c r="S927" s="24" t="s">
        <v>30</v>
      </c>
      <c r="T927" s="24"/>
      <c r="U927" s="24"/>
      <c r="V927" s="24"/>
    </row>
    <row r="928" spans="1:22" ht="216.75">
      <c r="A928" s="10" t="s">
        <v>208</v>
      </c>
      <c r="B928" s="11" t="str">
        <f>IFERROR(VLOOKUP(A928,Systems!A:B,2,FALSE),"Various")</f>
        <v>Various</v>
      </c>
      <c r="C928" s="11" t="s">
        <v>133</v>
      </c>
      <c r="D928" s="11"/>
      <c r="E928" s="11"/>
      <c r="F928" s="24" t="s">
        <v>1064</v>
      </c>
      <c r="G928" s="38"/>
      <c r="H928" s="11"/>
      <c r="I928" s="11"/>
      <c r="J928" s="11"/>
      <c r="K928" s="11"/>
      <c r="L928" s="11"/>
      <c r="M928" s="11" t="s">
        <v>591</v>
      </c>
      <c r="N928" s="11"/>
      <c r="O928" s="11"/>
      <c r="P928" s="11"/>
      <c r="Q928" s="11"/>
      <c r="R928" s="11"/>
      <c r="S928" s="24" t="s">
        <v>30</v>
      </c>
      <c r="T928" s="24"/>
      <c r="U928" s="24"/>
      <c r="V928" s="24"/>
    </row>
    <row r="929" spans="1:22" ht="127.5">
      <c r="A929" s="10" t="s">
        <v>577</v>
      </c>
      <c r="B929" s="11" t="str">
        <f>IFERROR(VLOOKUP(A929,Systems!A:B,2,FALSE),"Various")</f>
        <v>Internal deck scuppers / drain pipes</v>
      </c>
      <c r="C929" s="11" t="s">
        <v>377</v>
      </c>
      <c r="D929" s="11"/>
      <c r="E929" s="11"/>
      <c r="F929" s="24" t="s">
        <v>1064</v>
      </c>
      <c r="G929" s="38"/>
      <c r="H929" s="11"/>
      <c r="I929" s="11"/>
      <c r="J929" s="11"/>
      <c r="K929" s="11"/>
      <c r="L929" s="11"/>
      <c r="M929" s="11" t="s">
        <v>374</v>
      </c>
      <c r="N929" s="11"/>
      <c r="O929" s="11"/>
      <c r="P929" s="11"/>
      <c r="Q929" s="11"/>
      <c r="R929" s="11"/>
      <c r="S929" s="24" t="s">
        <v>1305</v>
      </c>
      <c r="T929" s="24"/>
      <c r="U929" s="24"/>
      <c r="V929" s="24"/>
    </row>
    <row r="930" spans="1:22" ht="51">
      <c r="A930" s="10" t="s">
        <v>242</v>
      </c>
      <c r="B930" s="11" t="str">
        <f>IFERROR(VLOOKUP(A930,Systems!A:B,2,FALSE),"Various")</f>
        <v>Sounding and de-aeration</v>
      </c>
      <c r="C930" s="11" t="s">
        <v>1889</v>
      </c>
      <c r="D930" s="11" t="s">
        <v>1890</v>
      </c>
      <c r="E930" s="11"/>
      <c r="F930" s="24" t="s">
        <v>1064</v>
      </c>
      <c r="G930" s="38"/>
      <c r="H930" s="11"/>
      <c r="I930" s="11"/>
      <c r="J930" s="11"/>
      <c r="K930" s="11"/>
      <c r="L930" s="11"/>
      <c r="M930" s="11"/>
      <c r="N930" s="11"/>
      <c r="O930" s="11"/>
      <c r="P930" s="11"/>
      <c r="Q930" s="11"/>
      <c r="R930" s="11"/>
      <c r="S930" s="24" t="s">
        <v>30</v>
      </c>
      <c r="T930" s="24"/>
      <c r="U930" s="24"/>
      <c r="V930" s="24"/>
    </row>
    <row r="931" spans="1:22" ht="178.5">
      <c r="A931" s="10" t="s">
        <v>242</v>
      </c>
      <c r="B931" s="11" t="str">
        <f>IFERROR(VLOOKUP(A931,Systems!A:B,2,FALSE),"Various")</f>
        <v>Sounding and de-aeration</v>
      </c>
      <c r="C931" s="11" t="s">
        <v>1892</v>
      </c>
      <c r="D931" s="11" t="s">
        <v>1891</v>
      </c>
      <c r="E931" s="11"/>
      <c r="F931" s="24" t="s">
        <v>1064</v>
      </c>
      <c r="G931" s="38"/>
      <c r="H931" s="11"/>
      <c r="I931" s="11"/>
      <c r="J931" s="11"/>
      <c r="K931" s="11"/>
      <c r="L931" s="11"/>
      <c r="M931" s="11"/>
      <c r="N931" s="11"/>
      <c r="O931" s="11"/>
      <c r="P931" s="11"/>
      <c r="Q931" s="11"/>
      <c r="R931" s="11"/>
      <c r="S931" s="24"/>
      <c r="T931" s="24"/>
      <c r="U931" s="24" t="str">
        <f>IF(OR(NOT(H931=""),NOT(M931="")),"","x")</f>
        <v>x</v>
      </c>
      <c r="V931" s="24"/>
    </row>
    <row r="932" spans="1:22" ht="25.5">
      <c r="A932" s="10" t="s">
        <v>242</v>
      </c>
      <c r="B932" s="11" t="str">
        <f>IFERROR(VLOOKUP(A932,Systems!A:B,2,FALSE),"Various")</f>
        <v>Sounding and de-aeration</v>
      </c>
      <c r="C932" s="11" t="s">
        <v>1893</v>
      </c>
      <c r="D932" s="11"/>
      <c r="E932" s="11"/>
      <c r="F932" s="24" t="s">
        <v>1064</v>
      </c>
      <c r="G932" s="38"/>
      <c r="H932" s="11"/>
      <c r="I932" s="11"/>
      <c r="J932" s="11"/>
      <c r="K932" s="11"/>
      <c r="L932" s="11"/>
      <c r="M932" s="11"/>
      <c r="N932" s="11"/>
      <c r="O932" s="11"/>
      <c r="P932" s="11"/>
      <c r="Q932" s="11"/>
      <c r="R932" s="11"/>
      <c r="S932" s="24"/>
      <c r="T932" s="24"/>
      <c r="U932" s="24" t="str">
        <f>IF(OR(NOT(H932=""),NOT(M932="")),"","x")</f>
        <v>x</v>
      </c>
      <c r="V932" s="24"/>
    </row>
    <row r="933" spans="1:22" ht="89.25">
      <c r="A933" s="10" t="s">
        <v>242</v>
      </c>
      <c r="B933" s="11" t="str">
        <f>IFERROR(VLOOKUP(A933,Systems!A:B,2,FALSE),"Various")</f>
        <v>Sounding and de-aeration</v>
      </c>
      <c r="C933" s="11" t="s">
        <v>391</v>
      </c>
      <c r="D933" s="11"/>
      <c r="E933" s="11"/>
      <c r="F933" s="24" t="s">
        <v>1064</v>
      </c>
      <c r="G933" s="38"/>
      <c r="H933" s="11"/>
      <c r="I933" s="11"/>
      <c r="J933" s="11"/>
      <c r="K933" s="11"/>
      <c r="L933" s="11"/>
      <c r="M933" s="11" t="s">
        <v>386</v>
      </c>
      <c r="N933" s="11"/>
      <c r="O933" s="11"/>
      <c r="P933" s="11" t="s">
        <v>386</v>
      </c>
      <c r="Q933" s="11"/>
      <c r="R933" s="11"/>
      <c r="S933" s="24"/>
      <c r="T933" s="24"/>
      <c r="U933" s="24" t="str">
        <f>IF(OR(NOT(H933=""),NOT(M933="")),"","x")</f>
        <v/>
      </c>
      <c r="V933" s="24"/>
    </row>
    <row r="934" spans="1:22" ht="102">
      <c r="A934" s="10" t="s">
        <v>242</v>
      </c>
      <c r="B934" s="11" t="str">
        <f>IFERROR(VLOOKUP(A934,Systems!A:B,2,FALSE),"Various")</f>
        <v>Sounding and de-aeration</v>
      </c>
      <c r="C934" s="11" t="s">
        <v>33</v>
      </c>
      <c r="D934" s="11"/>
      <c r="E934" s="11"/>
      <c r="F934" s="24" t="s">
        <v>1064</v>
      </c>
      <c r="G934" s="38"/>
      <c r="H934" s="11"/>
      <c r="I934" s="11"/>
      <c r="J934" s="11"/>
      <c r="K934" s="11"/>
      <c r="L934" s="11"/>
      <c r="M934" s="11" t="s">
        <v>389</v>
      </c>
      <c r="N934" s="11"/>
      <c r="O934" s="11"/>
      <c r="P934" s="11"/>
      <c r="Q934" s="11"/>
      <c r="R934" s="11"/>
      <c r="S934" s="24" t="s">
        <v>30</v>
      </c>
      <c r="T934" s="24"/>
      <c r="U934" s="24" t="str">
        <f>IF(OR(NOT(H934=""),NOT(M934="")),"","x")</f>
        <v/>
      </c>
      <c r="V934" s="24"/>
    </row>
    <row r="935" spans="1:22" ht="51">
      <c r="A935" s="10" t="s">
        <v>242</v>
      </c>
      <c r="B935" s="11" t="str">
        <f>IFERROR(VLOOKUP(A935,Systems!A:B,2,FALSE),"Various")</f>
        <v>Sounding and de-aeration</v>
      </c>
      <c r="C935" s="11" t="s">
        <v>392</v>
      </c>
      <c r="D935" s="11"/>
      <c r="E935" s="11"/>
      <c r="F935" s="24" t="s">
        <v>1064</v>
      </c>
      <c r="G935" s="38"/>
      <c r="H935" s="11"/>
      <c r="I935" s="11"/>
      <c r="J935" s="11"/>
      <c r="K935" s="11"/>
      <c r="L935" s="11"/>
      <c r="M935" s="11" t="s">
        <v>387</v>
      </c>
      <c r="N935" s="11"/>
      <c r="O935" s="11"/>
      <c r="P935" s="11"/>
      <c r="Q935" s="11"/>
      <c r="R935" s="11"/>
      <c r="S935" s="24" t="s">
        <v>30</v>
      </c>
      <c r="T935" s="24"/>
      <c r="U935" s="24"/>
      <c r="V935" s="24"/>
    </row>
    <row r="936" spans="1:22" ht="89.25">
      <c r="A936" s="10" t="s">
        <v>242</v>
      </c>
      <c r="B936" s="11" t="str">
        <f>IFERROR(VLOOKUP(A936,Systems!A:B,2,FALSE),"Various")</f>
        <v>Sounding and de-aeration</v>
      </c>
      <c r="C936" s="11" t="s">
        <v>390</v>
      </c>
      <c r="D936" s="11"/>
      <c r="E936" s="11"/>
      <c r="F936" s="24" t="s">
        <v>1064</v>
      </c>
      <c r="G936" s="38"/>
      <c r="H936" s="11"/>
      <c r="I936" s="11"/>
      <c r="J936" s="11"/>
      <c r="K936" s="11"/>
      <c r="L936" s="11"/>
      <c r="M936" s="11" t="s">
        <v>386</v>
      </c>
      <c r="N936" s="11"/>
      <c r="O936" s="11"/>
      <c r="P936" s="11"/>
      <c r="Q936" s="11"/>
      <c r="R936" s="11"/>
      <c r="S936" s="24" t="s">
        <v>30</v>
      </c>
      <c r="T936" s="24"/>
      <c r="U936" s="24" t="str">
        <f>IF(OR(NOT(H936=""),NOT(M936="")),"","x")</f>
        <v/>
      </c>
      <c r="V936" s="24"/>
    </row>
    <row r="937" spans="1:22" ht="102">
      <c r="A937" s="10" t="s">
        <v>242</v>
      </c>
      <c r="B937" s="11" t="str">
        <f>IFERROR(VLOOKUP(A937,Systems!A:B,2,FALSE),"Various")</f>
        <v>Sounding and de-aeration</v>
      </c>
      <c r="C937" s="11" t="s">
        <v>393</v>
      </c>
      <c r="D937" s="11"/>
      <c r="E937" s="11"/>
      <c r="F937" s="24" t="s">
        <v>1064</v>
      </c>
      <c r="G937" s="38"/>
      <c r="H937" s="11"/>
      <c r="I937" s="11"/>
      <c r="J937" s="11"/>
      <c r="K937" s="11"/>
      <c r="L937" s="11"/>
      <c r="M937" s="11" t="s">
        <v>388</v>
      </c>
      <c r="N937" s="11"/>
      <c r="O937" s="11"/>
      <c r="P937" s="11"/>
      <c r="Q937" s="11"/>
      <c r="R937" s="11"/>
      <c r="S937" s="24" t="s">
        <v>30</v>
      </c>
      <c r="T937" s="24" t="s">
        <v>30</v>
      </c>
      <c r="U937" s="24"/>
      <c r="V937" s="24"/>
    </row>
    <row r="938" spans="1:22" ht="25.5">
      <c r="A938" s="10" t="s">
        <v>242</v>
      </c>
      <c r="B938" s="11" t="str">
        <f>IFERROR(VLOOKUP(A938,Systems!A:B,2,FALSE),"Various")</f>
        <v>Sounding and de-aeration</v>
      </c>
      <c r="C938" s="11" t="s">
        <v>243</v>
      </c>
      <c r="D938" s="11"/>
      <c r="E938" s="11"/>
      <c r="F938" s="24" t="s">
        <v>1064</v>
      </c>
      <c r="G938" s="38"/>
      <c r="H938" s="11"/>
      <c r="I938" s="11"/>
      <c r="J938" s="11"/>
      <c r="K938" s="11"/>
      <c r="L938" s="11"/>
      <c r="M938" s="11"/>
      <c r="N938" s="11"/>
      <c r="O938" s="11" t="s">
        <v>694</v>
      </c>
      <c r="P938" s="11"/>
      <c r="Q938" s="11"/>
      <c r="R938" s="11"/>
      <c r="S938" s="24" t="s">
        <v>30</v>
      </c>
      <c r="T938" s="24"/>
      <c r="U938" s="24"/>
      <c r="V938" s="24"/>
    </row>
    <row r="939" spans="1:22" ht="25.5">
      <c r="A939" s="10" t="s">
        <v>242</v>
      </c>
      <c r="B939" s="11" t="str">
        <f>IFERROR(VLOOKUP(A939,Systems!A:B,2,FALSE),"Various")</f>
        <v>Sounding and de-aeration</v>
      </c>
      <c r="C939" s="11" t="s">
        <v>243</v>
      </c>
      <c r="D939" s="11"/>
      <c r="E939" s="11"/>
      <c r="F939" s="24" t="s">
        <v>1064</v>
      </c>
      <c r="G939" s="38"/>
      <c r="H939" s="11"/>
      <c r="I939" s="11"/>
      <c r="J939" s="11"/>
      <c r="K939" s="11"/>
      <c r="L939" s="11"/>
      <c r="M939" s="11"/>
      <c r="N939" s="11"/>
      <c r="O939" s="11" t="s">
        <v>695</v>
      </c>
      <c r="P939" s="11"/>
      <c r="Q939" s="11"/>
      <c r="R939" s="11"/>
      <c r="S939" s="24" t="s">
        <v>30</v>
      </c>
      <c r="T939" s="24"/>
      <c r="U939" s="24"/>
      <c r="V939" s="24"/>
    </row>
    <row r="940" spans="1:22" ht="25.5">
      <c r="A940" s="10" t="s">
        <v>242</v>
      </c>
      <c r="B940" s="11" t="str">
        <f>IFERROR(VLOOKUP(A940,Systems!A:B,2,FALSE),"Various")</f>
        <v>Sounding and de-aeration</v>
      </c>
      <c r="C940" s="11" t="s">
        <v>243</v>
      </c>
      <c r="D940" s="11"/>
      <c r="E940" s="11"/>
      <c r="F940" s="24" t="s">
        <v>1064</v>
      </c>
      <c r="G940" s="38"/>
      <c r="H940" s="11"/>
      <c r="I940" s="11"/>
      <c r="J940" s="11"/>
      <c r="K940" s="11"/>
      <c r="L940" s="11"/>
      <c r="M940" s="11"/>
      <c r="N940" s="11"/>
      <c r="O940" s="11" t="s">
        <v>696</v>
      </c>
      <c r="P940" s="11"/>
      <c r="Q940" s="11"/>
      <c r="R940" s="11"/>
      <c r="S940" s="24" t="s">
        <v>30</v>
      </c>
      <c r="T940" s="24"/>
      <c r="U940" s="24"/>
      <c r="V940" s="24"/>
    </row>
    <row r="941" spans="1:22" ht="25.5">
      <c r="A941" s="10" t="s">
        <v>242</v>
      </c>
      <c r="B941" s="11" t="str">
        <f>IFERROR(VLOOKUP(A941,Systems!A:B,2,FALSE),"Various")</f>
        <v>Sounding and de-aeration</v>
      </c>
      <c r="C941" s="11" t="s">
        <v>243</v>
      </c>
      <c r="D941" s="11"/>
      <c r="E941" s="11"/>
      <c r="F941" s="24" t="s">
        <v>1064</v>
      </c>
      <c r="G941" s="38"/>
      <c r="H941" s="11"/>
      <c r="I941" s="11"/>
      <c r="J941" s="11"/>
      <c r="K941" s="11"/>
      <c r="L941" s="11"/>
      <c r="M941" s="11"/>
      <c r="N941" s="11"/>
      <c r="O941" s="11" t="s">
        <v>697</v>
      </c>
      <c r="P941" s="11"/>
      <c r="Q941" s="11"/>
      <c r="R941" s="11"/>
      <c r="S941" s="24" t="s">
        <v>30</v>
      </c>
      <c r="T941" s="24"/>
      <c r="U941" s="24"/>
      <c r="V941" s="24"/>
    </row>
    <row r="942" spans="1:22" ht="25.5">
      <c r="A942" s="10" t="s">
        <v>242</v>
      </c>
      <c r="B942" s="11" t="str">
        <f>IFERROR(VLOOKUP(A942,Systems!A:B,2,FALSE),"Various")</f>
        <v>Sounding and de-aeration</v>
      </c>
      <c r="C942" s="11" t="s">
        <v>243</v>
      </c>
      <c r="D942" s="11"/>
      <c r="E942" s="11"/>
      <c r="F942" s="24" t="s">
        <v>1064</v>
      </c>
      <c r="G942" s="38"/>
      <c r="H942" s="11"/>
      <c r="I942" s="11"/>
      <c r="J942" s="11"/>
      <c r="K942" s="11"/>
      <c r="L942" s="11"/>
      <c r="M942" s="11"/>
      <c r="N942" s="11"/>
      <c r="O942" s="11" t="s">
        <v>698</v>
      </c>
      <c r="P942" s="11"/>
      <c r="Q942" s="11"/>
      <c r="R942" s="11"/>
      <c r="S942" s="24" t="s">
        <v>30</v>
      </c>
      <c r="T942" s="24"/>
      <c r="U942" s="24"/>
      <c r="V942" s="24"/>
    </row>
    <row r="943" spans="1:22" ht="25.5">
      <c r="A943" s="10" t="s">
        <v>242</v>
      </c>
      <c r="B943" s="11" t="str">
        <f>IFERROR(VLOOKUP(A943,Systems!A:B,2,FALSE),"Various")</f>
        <v>Sounding and de-aeration</v>
      </c>
      <c r="C943" s="11" t="s">
        <v>243</v>
      </c>
      <c r="D943" s="11"/>
      <c r="E943" s="11"/>
      <c r="F943" s="24" t="s">
        <v>1064</v>
      </c>
      <c r="G943" s="38"/>
      <c r="H943" s="11"/>
      <c r="I943" s="11"/>
      <c r="J943" s="11"/>
      <c r="K943" s="11"/>
      <c r="L943" s="11"/>
      <c r="M943" s="11"/>
      <c r="N943" s="11"/>
      <c r="O943" s="11" t="s">
        <v>699</v>
      </c>
      <c r="P943" s="11"/>
      <c r="Q943" s="11"/>
      <c r="R943" s="11"/>
      <c r="S943" s="24" t="s">
        <v>30</v>
      </c>
      <c r="T943" s="24"/>
      <c r="U943" s="24"/>
      <c r="V943" s="24"/>
    </row>
    <row r="944" spans="1:22" ht="25.5">
      <c r="A944" s="10" t="s">
        <v>242</v>
      </c>
      <c r="B944" s="11" t="str">
        <f>IFERROR(VLOOKUP(A944,Systems!A:B,2,FALSE),"Various")</f>
        <v>Sounding and de-aeration</v>
      </c>
      <c r="C944" s="11" t="s">
        <v>243</v>
      </c>
      <c r="D944" s="11"/>
      <c r="E944" s="11"/>
      <c r="F944" s="24" t="s">
        <v>1064</v>
      </c>
      <c r="G944" s="38"/>
      <c r="H944" s="11"/>
      <c r="I944" s="11"/>
      <c r="J944" s="11"/>
      <c r="K944" s="11"/>
      <c r="L944" s="11"/>
      <c r="M944" s="11"/>
      <c r="N944" s="11"/>
      <c r="O944" s="11" t="s">
        <v>700</v>
      </c>
      <c r="P944" s="11"/>
      <c r="Q944" s="11"/>
      <c r="R944" s="11"/>
      <c r="S944" s="24" t="s">
        <v>30</v>
      </c>
      <c r="T944" s="24"/>
      <c r="U944" s="24"/>
      <c r="V944" s="24"/>
    </row>
    <row r="945" spans="1:22" ht="25.5">
      <c r="A945" s="10" t="s">
        <v>242</v>
      </c>
      <c r="B945" s="11" t="str">
        <f>IFERROR(VLOOKUP(A945,Systems!A:B,2,FALSE),"Various")</f>
        <v>Sounding and de-aeration</v>
      </c>
      <c r="C945" s="11" t="s">
        <v>243</v>
      </c>
      <c r="D945" s="11"/>
      <c r="E945" s="11"/>
      <c r="F945" s="24" t="s">
        <v>1064</v>
      </c>
      <c r="G945" s="38"/>
      <c r="H945" s="11"/>
      <c r="I945" s="11"/>
      <c r="J945" s="11"/>
      <c r="K945" s="11"/>
      <c r="L945" s="11"/>
      <c r="M945" s="11"/>
      <c r="N945" s="11"/>
      <c r="O945" s="11" t="s">
        <v>701</v>
      </c>
      <c r="P945" s="11"/>
      <c r="Q945" s="11"/>
      <c r="R945" s="11"/>
      <c r="S945" s="24" t="s">
        <v>30</v>
      </c>
      <c r="T945" s="24"/>
      <c r="U945" s="24"/>
      <c r="V945" s="24"/>
    </row>
    <row r="946" spans="1:22" ht="25.5">
      <c r="A946" s="10" t="s">
        <v>242</v>
      </c>
      <c r="B946" s="11" t="str">
        <f>IFERROR(VLOOKUP(A946,Systems!A:B,2,FALSE),"Various")</f>
        <v>Sounding and de-aeration</v>
      </c>
      <c r="C946" s="11" t="s">
        <v>243</v>
      </c>
      <c r="D946" s="11"/>
      <c r="E946" s="11"/>
      <c r="F946" s="24" t="s">
        <v>1064</v>
      </c>
      <c r="G946" s="38"/>
      <c r="H946" s="11"/>
      <c r="I946" s="11"/>
      <c r="J946" s="11"/>
      <c r="K946" s="11"/>
      <c r="L946" s="11"/>
      <c r="M946" s="11"/>
      <c r="N946" s="11"/>
      <c r="O946" s="11" t="s">
        <v>702</v>
      </c>
      <c r="P946" s="11"/>
      <c r="Q946" s="11"/>
      <c r="R946" s="11"/>
      <c r="S946" s="24" t="s">
        <v>30</v>
      </c>
      <c r="T946" s="24"/>
      <c r="U946" s="24"/>
      <c r="V946" s="24"/>
    </row>
    <row r="947" spans="1:22" ht="38.25">
      <c r="A947" s="10" t="s">
        <v>242</v>
      </c>
      <c r="B947" s="11" t="str">
        <f>IFERROR(VLOOKUP(A947,Systems!A:B,2,FALSE),"Various")</f>
        <v>Sounding and de-aeration</v>
      </c>
      <c r="C947" s="11" t="s">
        <v>243</v>
      </c>
      <c r="D947" s="11"/>
      <c r="E947" s="11"/>
      <c r="F947" s="24" t="s">
        <v>1064</v>
      </c>
      <c r="G947" s="38"/>
      <c r="H947" s="11"/>
      <c r="I947" s="11"/>
      <c r="J947" s="11"/>
      <c r="K947" s="11"/>
      <c r="L947" s="11"/>
      <c r="M947" s="11"/>
      <c r="N947" s="11"/>
      <c r="O947" s="11" t="s">
        <v>703</v>
      </c>
      <c r="P947" s="11"/>
      <c r="Q947" s="11"/>
      <c r="R947" s="11"/>
      <c r="S947" s="24" t="s">
        <v>30</v>
      </c>
      <c r="T947" s="24"/>
      <c r="U947" s="24"/>
      <c r="V947" s="24"/>
    </row>
    <row r="948" spans="1:22" ht="25.5">
      <c r="A948" s="10" t="s">
        <v>242</v>
      </c>
      <c r="B948" s="11" t="str">
        <f>IFERROR(VLOOKUP(A948,Systems!A:B,2,FALSE),"Various")</f>
        <v>Sounding and de-aeration</v>
      </c>
      <c r="C948" s="11" t="s">
        <v>243</v>
      </c>
      <c r="D948" s="11"/>
      <c r="E948" s="11"/>
      <c r="F948" s="24" t="s">
        <v>1064</v>
      </c>
      <c r="G948" s="38"/>
      <c r="H948" s="11"/>
      <c r="I948" s="11"/>
      <c r="J948" s="11"/>
      <c r="K948" s="11"/>
      <c r="L948" s="11"/>
      <c r="M948" s="11"/>
      <c r="N948" s="11"/>
      <c r="O948" s="11" t="s">
        <v>704</v>
      </c>
      <c r="P948" s="11"/>
      <c r="Q948" s="11"/>
      <c r="R948" s="11"/>
      <c r="S948" s="24"/>
      <c r="T948" s="24"/>
      <c r="U948" s="24"/>
      <c r="V948" s="24"/>
    </row>
    <row r="949" spans="1:22" ht="38.25">
      <c r="A949" s="10" t="s">
        <v>242</v>
      </c>
      <c r="B949" s="11" t="str">
        <f>IFERROR(VLOOKUP(A949,Systems!A:B,2,FALSE),"Various")</f>
        <v>Sounding and de-aeration</v>
      </c>
      <c r="C949" s="11" t="s">
        <v>243</v>
      </c>
      <c r="D949" s="11"/>
      <c r="E949" s="11"/>
      <c r="F949" s="24" t="s">
        <v>1064</v>
      </c>
      <c r="G949" s="38"/>
      <c r="H949" s="11"/>
      <c r="I949" s="11"/>
      <c r="J949" s="11"/>
      <c r="K949" s="11"/>
      <c r="L949" s="11"/>
      <c r="M949" s="11"/>
      <c r="N949" s="11"/>
      <c r="O949" s="11" t="s">
        <v>705</v>
      </c>
      <c r="P949" s="11"/>
      <c r="Q949" s="11"/>
      <c r="R949" s="11"/>
      <c r="S949" s="24" t="s">
        <v>30</v>
      </c>
      <c r="T949" s="24"/>
      <c r="U949" s="24"/>
      <c r="V949" s="24"/>
    </row>
    <row r="950" spans="1:22" ht="25.5">
      <c r="A950" s="10" t="s">
        <v>242</v>
      </c>
      <c r="B950" s="11" t="str">
        <f>IFERROR(VLOOKUP(A950,Systems!A:B,2,FALSE),"Various")</f>
        <v>Sounding and de-aeration</v>
      </c>
      <c r="C950" s="11" t="s">
        <v>243</v>
      </c>
      <c r="D950" s="11"/>
      <c r="E950" s="11"/>
      <c r="F950" s="24" t="s">
        <v>1064</v>
      </c>
      <c r="G950" s="38"/>
      <c r="H950" s="11"/>
      <c r="I950" s="11"/>
      <c r="J950" s="11"/>
      <c r="K950" s="11"/>
      <c r="L950" s="11"/>
      <c r="M950" s="11"/>
      <c r="N950" s="11"/>
      <c r="O950" s="11" t="s">
        <v>706</v>
      </c>
      <c r="P950" s="11"/>
      <c r="Q950" s="11"/>
      <c r="R950" s="11"/>
      <c r="S950" s="24" t="s">
        <v>30</v>
      </c>
      <c r="T950" s="24"/>
      <c r="U950" s="24"/>
      <c r="V950" s="24"/>
    </row>
    <row r="951" spans="1:22" ht="51">
      <c r="A951" s="10" t="s">
        <v>242</v>
      </c>
      <c r="B951" s="11" t="str">
        <f>IFERROR(VLOOKUP(A951,Systems!A:B,2,FALSE),"Various")</f>
        <v>Sounding and de-aeration</v>
      </c>
      <c r="C951" s="11" t="s">
        <v>243</v>
      </c>
      <c r="D951" s="11"/>
      <c r="E951" s="11"/>
      <c r="F951" s="24" t="s">
        <v>1064</v>
      </c>
      <c r="G951" s="38"/>
      <c r="H951" s="11"/>
      <c r="I951" s="11"/>
      <c r="J951" s="11"/>
      <c r="K951" s="11"/>
      <c r="L951" s="11"/>
      <c r="M951" s="11"/>
      <c r="N951" s="11"/>
      <c r="O951" s="11" t="s">
        <v>707</v>
      </c>
      <c r="P951" s="11"/>
      <c r="Q951" s="11"/>
      <c r="R951" s="11"/>
      <c r="S951" s="24" t="s">
        <v>30</v>
      </c>
      <c r="T951" s="24"/>
      <c r="U951" s="24"/>
      <c r="V951" s="24"/>
    </row>
    <row r="952" spans="1:22" ht="38.25">
      <c r="A952" s="10" t="s">
        <v>242</v>
      </c>
      <c r="B952" s="11" t="str">
        <f>IFERROR(VLOOKUP(A952,Systems!A:B,2,FALSE),"Various")</f>
        <v>Sounding and de-aeration</v>
      </c>
      <c r="C952" s="11" t="s">
        <v>243</v>
      </c>
      <c r="D952" s="11"/>
      <c r="E952" s="11"/>
      <c r="F952" s="24" t="s">
        <v>1064</v>
      </c>
      <c r="G952" s="38"/>
      <c r="H952" s="11"/>
      <c r="I952" s="11"/>
      <c r="J952" s="11"/>
      <c r="K952" s="11"/>
      <c r="L952" s="11"/>
      <c r="M952" s="11"/>
      <c r="N952" s="11"/>
      <c r="O952" s="11" t="s">
        <v>708</v>
      </c>
      <c r="P952" s="11"/>
      <c r="Q952" s="11"/>
      <c r="R952" s="11"/>
      <c r="S952" s="24" t="s">
        <v>30</v>
      </c>
      <c r="T952" s="24"/>
      <c r="U952" s="24"/>
      <c r="V952" s="24"/>
    </row>
    <row r="953" spans="1:22" ht="38.25">
      <c r="A953" s="10" t="s">
        <v>242</v>
      </c>
      <c r="B953" s="11" t="str">
        <f>IFERROR(VLOOKUP(A953,Systems!A:B,2,FALSE),"Various")</f>
        <v>Sounding and de-aeration</v>
      </c>
      <c r="C953" s="11" t="s">
        <v>243</v>
      </c>
      <c r="D953" s="11"/>
      <c r="E953" s="11"/>
      <c r="F953" s="24" t="s">
        <v>1064</v>
      </c>
      <c r="G953" s="38"/>
      <c r="H953" s="11"/>
      <c r="I953" s="11"/>
      <c r="J953" s="11"/>
      <c r="K953" s="11"/>
      <c r="L953" s="11"/>
      <c r="M953" s="11"/>
      <c r="N953" s="11"/>
      <c r="O953" s="11" t="s">
        <v>709</v>
      </c>
      <c r="P953" s="11"/>
      <c r="Q953" s="11"/>
      <c r="R953" s="11"/>
      <c r="S953" s="24" t="s">
        <v>30</v>
      </c>
      <c r="T953" s="24"/>
      <c r="U953" s="24" t="str">
        <f t="shared" ref="U953:U958" si="25">IF(OR(NOT(H953=""),NOT(M953="")),"","x")</f>
        <v>x</v>
      </c>
      <c r="V953" s="24"/>
    </row>
    <row r="954" spans="1:22" ht="25.5">
      <c r="A954" s="10" t="s">
        <v>242</v>
      </c>
      <c r="B954" s="11" t="str">
        <f>IFERROR(VLOOKUP(A954,Systems!A:B,2,FALSE),"Various")</f>
        <v>Sounding and de-aeration</v>
      </c>
      <c r="C954" s="11" t="s">
        <v>243</v>
      </c>
      <c r="D954" s="11"/>
      <c r="E954" s="11"/>
      <c r="F954" s="24" t="s">
        <v>1064</v>
      </c>
      <c r="G954" s="38"/>
      <c r="H954" s="11"/>
      <c r="I954" s="11"/>
      <c r="J954" s="11"/>
      <c r="K954" s="11"/>
      <c r="L954" s="11"/>
      <c r="M954" s="11"/>
      <c r="N954" s="11"/>
      <c r="O954" s="11" t="s">
        <v>710</v>
      </c>
      <c r="P954" s="11"/>
      <c r="Q954" s="11"/>
      <c r="R954" s="11"/>
      <c r="S954" s="24" t="s">
        <v>30</v>
      </c>
      <c r="T954" s="24" t="s">
        <v>30</v>
      </c>
      <c r="U954" s="24" t="str">
        <f t="shared" si="25"/>
        <v>x</v>
      </c>
      <c r="V954" s="24"/>
    </row>
    <row r="955" spans="1:22" ht="25.5">
      <c r="A955" s="10" t="s">
        <v>242</v>
      </c>
      <c r="B955" s="11" t="str">
        <f>IFERROR(VLOOKUP(A955,Systems!A:B,2,FALSE),"Various")</f>
        <v>Sounding and de-aeration</v>
      </c>
      <c r="C955" s="11" t="s">
        <v>243</v>
      </c>
      <c r="D955" s="11"/>
      <c r="E955" s="11"/>
      <c r="F955" s="24" t="s">
        <v>1064</v>
      </c>
      <c r="G955" s="38"/>
      <c r="H955" s="11"/>
      <c r="I955" s="11"/>
      <c r="J955" s="11"/>
      <c r="K955" s="11"/>
      <c r="L955" s="11"/>
      <c r="M955" s="11"/>
      <c r="N955" s="11"/>
      <c r="O955" s="11" t="s">
        <v>711</v>
      </c>
      <c r="P955" s="11"/>
      <c r="Q955" s="11"/>
      <c r="R955" s="11"/>
      <c r="S955" s="24" t="s">
        <v>30</v>
      </c>
      <c r="T955" s="24"/>
      <c r="U955" s="24" t="str">
        <f t="shared" si="25"/>
        <v>x</v>
      </c>
      <c r="V955" s="24"/>
    </row>
    <row r="956" spans="1:22" ht="38.25">
      <c r="A956" s="10" t="s">
        <v>242</v>
      </c>
      <c r="B956" s="11" t="str">
        <f>IFERROR(VLOOKUP(A956,Systems!A:B,2,FALSE),"Various")</f>
        <v>Sounding and de-aeration</v>
      </c>
      <c r="C956" s="11" t="s">
        <v>246</v>
      </c>
      <c r="D956" s="11"/>
      <c r="E956" s="11"/>
      <c r="F956" s="24" t="s">
        <v>1064</v>
      </c>
      <c r="G956" s="38"/>
      <c r="H956" s="11"/>
      <c r="I956" s="11"/>
      <c r="J956" s="11"/>
      <c r="K956" s="11"/>
      <c r="L956" s="11"/>
      <c r="M956" s="11"/>
      <c r="N956" s="11"/>
      <c r="O956" s="11" t="s">
        <v>712</v>
      </c>
      <c r="P956" s="11"/>
      <c r="Q956" s="11"/>
      <c r="R956" s="11"/>
      <c r="S956" s="24" t="s">
        <v>30</v>
      </c>
      <c r="T956" s="24"/>
      <c r="U956" s="24" t="str">
        <f t="shared" si="25"/>
        <v>x</v>
      </c>
      <c r="V956" s="24"/>
    </row>
    <row r="957" spans="1:22" ht="25.5">
      <c r="A957" s="10" t="s">
        <v>242</v>
      </c>
      <c r="B957" s="11" t="str">
        <f>IFERROR(VLOOKUP(A957,Systems!A:B,2,FALSE),"Various")</f>
        <v>Sounding and de-aeration</v>
      </c>
      <c r="C957" s="11" t="s">
        <v>246</v>
      </c>
      <c r="D957" s="11"/>
      <c r="E957" s="11"/>
      <c r="F957" s="24" t="s">
        <v>1064</v>
      </c>
      <c r="G957" s="38"/>
      <c r="H957" s="11"/>
      <c r="I957" s="11"/>
      <c r="J957" s="11"/>
      <c r="K957" s="11"/>
      <c r="L957" s="11"/>
      <c r="M957" s="11"/>
      <c r="N957" s="11"/>
      <c r="O957" s="11" t="s">
        <v>713</v>
      </c>
      <c r="P957" s="11"/>
      <c r="Q957" s="11"/>
      <c r="R957" s="11"/>
      <c r="S957" s="24" t="s">
        <v>30</v>
      </c>
      <c r="T957" s="24"/>
      <c r="U957" s="24" t="str">
        <f t="shared" si="25"/>
        <v>x</v>
      </c>
      <c r="V957" s="24"/>
    </row>
    <row r="958" spans="1:22" ht="38.25">
      <c r="A958" s="10" t="s">
        <v>242</v>
      </c>
      <c r="B958" s="11" t="str">
        <f>IFERROR(VLOOKUP(A958,Systems!A:B,2,FALSE),"Various")</f>
        <v>Sounding and de-aeration</v>
      </c>
      <c r="C958" s="11" t="s">
        <v>246</v>
      </c>
      <c r="D958" s="11"/>
      <c r="E958" s="11"/>
      <c r="F958" s="24" t="s">
        <v>1064</v>
      </c>
      <c r="G958" s="38"/>
      <c r="H958" s="11"/>
      <c r="I958" s="11"/>
      <c r="J958" s="11"/>
      <c r="K958" s="11"/>
      <c r="L958" s="11"/>
      <c r="M958" s="11"/>
      <c r="N958" s="11"/>
      <c r="O958" s="11" t="s">
        <v>714</v>
      </c>
      <c r="P958" s="11"/>
      <c r="Q958" s="11"/>
      <c r="R958" s="11"/>
      <c r="S958" s="24" t="s">
        <v>30</v>
      </c>
      <c r="T958" s="24"/>
      <c r="U958" s="24" t="str">
        <f t="shared" si="25"/>
        <v>x</v>
      </c>
      <c r="V958" s="24"/>
    </row>
    <row r="959" spans="1:22" ht="38.25">
      <c r="A959" s="10" t="s">
        <v>242</v>
      </c>
      <c r="B959" s="11" t="str">
        <f>IFERROR(VLOOKUP(A959,Systems!A:B,2,FALSE),"Various")</f>
        <v>Sounding and de-aeration</v>
      </c>
      <c r="C959" s="11" t="s">
        <v>246</v>
      </c>
      <c r="D959" s="11"/>
      <c r="E959" s="11"/>
      <c r="F959" s="24" t="s">
        <v>1064</v>
      </c>
      <c r="G959" s="38"/>
      <c r="H959" s="11"/>
      <c r="I959" s="11"/>
      <c r="J959" s="11"/>
      <c r="K959" s="11"/>
      <c r="L959" s="11"/>
      <c r="M959" s="11"/>
      <c r="N959" s="11"/>
      <c r="O959" s="11" t="s">
        <v>715</v>
      </c>
      <c r="P959" s="11"/>
      <c r="Q959" s="11"/>
      <c r="R959" s="11"/>
      <c r="S959" s="24" t="s">
        <v>30</v>
      </c>
      <c r="T959" s="24"/>
      <c r="U959" s="24"/>
      <c r="V959" s="24"/>
    </row>
    <row r="960" spans="1:22" ht="25.5">
      <c r="A960" s="10" t="s">
        <v>242</v>
      </c>
      <c r="B960" s="11" t="str">
        <f>IFERROR(VLOOKUP(A960,Systems!A:B,2,FALSE),"Various")</f>
        <v>Sounding and de-aeration</v>
      </c>
      <c r="C960" s="11" t="s">
        <v>246</v>
      </c>
      <c r="D960" s="11"/>
      <c r="E960" s="11"/>
      <c r="F960" s="24" t="s">
        <v>1064</v>
      </c>
      <c r="G960" s="38"/>
      <c r="H960" s="11"/>
      <c r="I960" s="11"/>
      <c r="J960" s="11"/>
      <c r="K960" s="11"/>
      <c r="L960" s="11"/>
      <c r="M960" s="11"/>
      <c r="N960" s="11"/>
      <c r="O960" s="11" t="s">
        <v>716</v>
      </c>
      <c r="P960" s="11"/>
      <c r="Q960" s="11"/>
      <c r="R960" s="11"/>
      <c r="S960" s="24" t="s">
        <v>30</v>
      </c>
      <c r="T960" s="24"/>
      <c r="U960" s="24"/>
      <c r="V960" s="24"/>
    </row>
    <row r="961" spans="1:22" ht="38.25">
      <c r="A961" s="10" t="s">
        <v>242</v>
      </c>
      <c r="B961" s="11" t="str">
        <f>IFERROR(VLOOKUP(A961,Systems!A:B,2,FALSE),"Various")</f>
        <v>Sounding and de-aeration</v>
      </c>
      <c r="C961" s="11" t="s">
        <v>246</v>
      </c>
      <c r="D961" s="11"/>
      <c r="E961" s="11"/>
      <c r="F961" s="24" t="s">
        <v>1064</v>
      </c>
      <c r="G961" s="38"/>
      <c r="H961" s="11"/>
      <c r="I961" s="11"/>
      <c r="J961" s="11"/>
      <c r="K961" s="11"/>
      <c r="L961" s="11"/>
      <c r="M961" s="11"/>
      <c r="N961" s="11"/>
      <c r="O961" s="11" t="s">
        <v>717</v>
      </c>
      <c r="P961" s="11"/>
      <c r="Q961" s="11"/>
      <c r="R961" s="11"/>
      <c r="S961" s="24" t="s">
        <v>30</v>
      </c>
      <c r="T961" s="24"/>
      <c r="U961" s="24"/>
      <c r="V961" s="24"/>
    </row>
    <row r="962" spans="1:22" ht="25.5">
      <c r="A962" s="10" t="s">
        <v>242</v>
      </c>
      <c r="B962" s="11" t="str">
        <f>IFERROR(VLOOKUP(A962,Systems!A:B,2,FALSE),"Various")</f>
        <v>Sounding and de-aeration</v>
      </c>
      <c r="C962" s="11" t="s">
        <v>246</v>
      </c>
      <c r="D962" s="11"/>
      <c r="E962" s="11"/>
      <c r="F962" s="24" t="s">
        <v>1064</v>
      </c>
      <c r="G962" s="38"/>
      <c r="H962" s="11"/>
      <c r="I962" s="11"/>
      <c r="J962" s="11"/>
      <c r="K962" s="11"/>
      <c r="L962" s="11"/>
      <c r="M962" s="11"/>
      <c r="N962" s="11"/>
      <c r="O962" s="11" t="s">
        <v>718</v>
      </c>
      <c r="P962" s="11"/>
      <c r="Q962" s="11"/>
      <c r="R962" s="11"/>
      <c r="S962" s="24" t="s">
        <v>30</v>
      </c>
      <c r="T962" s="24"/>
      <c r="U962" s="24"/>
      <c r="V962" s="24"/>
    </row>
    <row r="963" spans="1:22" ht="38.25">
      <c r="A963" s="10" t="s">
        <v>242</v>
      </c>
      <c r="B963" s="11" t="str">
        <f>IFERROR(VLOOKUP(A963,Systems!A:B,2,FALSE),"Various")</f>
        <v>Sounding and de-aeration</v>
      </c>
      <c r="C963" s="11" t="s">
        <v>246</v>
      </c>
      <c r="D963" s="11"/>
      <c r="E963" s="11"/>
      <c r="F963" s="24" t="s">
        <v>1064</v>
      </c>
      <c r="G963" s="38"/>
      <c r="H963" s="11"/>
      <c r="I963" s="11"/>
      <c r="J963" s="11"/>
      <c r="K963" s="11"/>
      <c r="L963" s="11"/>
      <c r="M963" s="11"/>
      <c r="N963" s="11"/>
      <c r="O963" s="11" t="s">
        <v>719</v>
      </c>
      <c r="P963" s="11"/>
      <c r="Q963" s="11"/>
      <c r="R963" s="11"/>
      <c r="S963" s="24" t="s">
        <v>30</v>
      </c>
      <c r="T963" s="24"/>
      <c r="U963" s="24"/>
      <c r="V963" s="24"/>
    </row>
    <row r="964" spans="1:22" ht="38.25">
      <c r="A964" s="10" t="s">
        <v>242</v>
      </c>
      <c r="B964" s="11" t="str">
        <f>IFERROR(VLOOKUP(A964,Systems!A:B,2,FALSE),"Various")</f>
        <v>Sounding and de-aeration</v>
      </c>
      <c r="C964" s="11" t="s">
        <v>246</v>
      </c>
      <c r="D964" s="11"/>
      <c r="E964" s="11"/>
      <c r="F964" s="24" t="s">
        <v>1064</v>
      </c>
      <c r="G964" s="38"/>
      <c r="H964" s="11"/>
      <c r="I964" s="11"/>
      <c r="J964" s="11"/>
      <c r="K964" s="11"/>
      <c r="L964" s="11"/>
      <c r="M964" s="11"/>
      <c r="N964" s="11"/>
      <c r="O964" s="11" t="s">
        <v>720</v>
      </c>
      <c r="P964" s="11"/>
      <c r="Q964" s="11"/>
      <c r="R964" s="11"/>
      <c r="S964" s="24" t="s">
        <v>30</v>
      </c>
      <c r="T964" s="24"/>
      <c r="U964" s="24"/>
      <c r="V964" s="24"/>
    </row>
    <row r="965" spans="1:22" ht="25.5">
      <c r="A965" s="10" t="s">
        <v>242</v>
      </c>
      <c r="B965" s="11" t="str">
        <f>IFERROR(VLOOKUP(A965,Systems!A:B,2,FALSE),"Various")</f>
        <v>Sounding and de-aeration</v>
      </c>
      <c r="C965" s="11" t="s">
        <v>246</v>
      </c>
      <c r="D965" s="11"/>
      <c r="E965" s="11"/>
      <c r="F965" s="24" t="s">
        <v>1064</v>
      </c>
      <c r="G965" s="38"/>
      <c r="H965" s="11"/>
      <c r="I965" s="11"/>
      <c r="J965" s="11"/>
      <c r="K965" s="11"/>
      <c r="L965" s="11"/>
      <c r="M965" s="11"/>
      <c r="N965" s="11"/>
      <c r="O965" s="11" t="s">
        <v>721</v>
      </c>
      <c r="P965" s="11"/>
      <c r="Q965" s="11"/>
      <c r="R965" s="11"/>
      <c r="S965" s="24" t="s">
        <v>30</v>
      </c>
      <c r="T965" s="24"/>
      <c r="U965" s="24"/>
      <c r="V965" s="24"/>
    </row>
    <row r="966" spans="1:22" ht="25.5">
      <c r="A966" s="10" t="s">
        <v>242</v>
      </c>
      <c r="B966" s="11" t="str">
        <f>IFERROR(VLOOKUP(A966,Systems!A:B,2,FALSE),"Various")</f>
        <v>Sounding and de-aeration</v>
      </c>
      <c r="C966" s="11" t="s">
        <v>246</v>
      </c>
      <c r="D966" s="11"/>
      <c r="E966" s="11"/>
      <c r="F966" s="24" t="s">
        <v>1064</v>
      </c>
      <c r="G966" s="38"/>
      <c r="H966" s="11"/>
      <c r="I966" s="11"/>
      <c r="J966" s="11"/>
      <c r="K966" s="11"/>
      <c r="L966" s="11"/>
      <c r="M966" s="11"/>
      <c r="N966" s="11"/>
      <c r="O966" s="11" t="s">
        <v>722</v>
      </c>
      <c r="P966" s="11"/>
      <c r="Q966" s="11"/>
      <c r="R966" s="11"/>
      <c r="S966" s="24" t="s">
        <v>30</v>
      </c>
      <c r="T966" s="24"/>
      <c r="U966" s="24"/>
      <c r="V966" s="24"/>
    </row>
    <row r="967" spans="1:22" ht="25.5">
      <c r="A967" s="10" t="s">
        <v>242</v>
      </c>
      <c r="B967" s="11" t="str">
        <f>IFERROR(VLOOKUP(A967,Systems!A:B,2,FALSE),"Various")</f>
        <v>Sounding and de-aeration</v>
      </c>
      <c r="C967" s="11" t="s">
        <v>246</v>
      </c>
      <c r="D967" s="11"/>
      <c r="E967" s="11"/>
      <c r="F967" s="24" t="s">
        <v>1064</v>
      </c>
      <c r="G967" s="38"/>
      <c r="H967" s="11"/>
      <c r="I967" s="11"/>
      <c r="J967" s="11"/>
      <c r="K967" s="11"/>
      <c r="L967" s="11"/>
      <c r="M967" s="11"/>
      <c r="N967" s="11"/>
      <c r="O967" s="11" t="s">
        <v>723</v>
      </c>
      <c r="P967" s="11"/>
      <c r="Q967" s="11"/>
      <c r="R967" s="11"/>
      <c r="S967" s="24" t="s">
        <v>30</v>
      </c>
      <c r="T967" s="24"/>
      <c r="U967" s="24" t="str">
        <f t="shared" ref="U967:U972" si="26">IF(OR(NOT(H967=""),NOT(M967="")),"","x")</f>
        <v>x</v>
      </c>
      <c r="V967" s="24"/>
    </row>
    <row r="968" spans="1:22" ht="25.5">
      <c r="A968" s="10" t="s">
        <v>242</v>
      </c>
      <c r="B968" s="11" t="str">
        <f>IFERROR(VLOOKUP(A968,Systems!A:B,2,FALSE),"Various")</f>
        <v>Sounding and de-aeration</v>
      </c>
      <c r="C968" s="11" t="s">
        <v>246</v>
      </c>
      <c r="D968" s="11"/>
      <c r="E968" s="11"/>
      <c r="F968" s="24" t="s">
        <v>1064</v>
      </c>
      <c r="G968" s="38"/>
      <c r="H968" s="11"/>
      <c r="I968" s="11"/>
      <c r="J968" s="11"/>
      <c r="K968" s="11"/>
      <c r="L968" s="11"/>
      <c r="M968" s="11"/>
      <c r="N968" s="11"/>
      <c r="O968" s="11" t="s">
        <v>724</v>
      </c>
      <c r="P968" s="11"/>
      <c r="Q968" s="11"/>
      <c r="R968" s="11"/>
      <c r="S968" s="24" t="s">
        <v>30</v>
      </c>
      <c r="T968" s="24"/>
      <c r="U968" s="24" t="str">
        <f t="shared" si="26"/>
        <v>x</v>
      </c>
      <c r="V968" s="24"/>
    </row>
    <row r="969" spans="1:22" ht="25.5">
      <c r="A969" s="10" t="s">
        <v>242</v>
      </c>
      <c r="B969" s="11" t="str">
        <f>IFERROR(VLOOKUP(A969,Systems!A:B,2,FALSE),"Various")</f>
        <v>Sounding and de-aeration</v>
      </c>
      <c r="C969" s="11" t="s">
        <v>246</v>
      </c>
      <c r="D969" s="11"/>
      <c r="E969" s="11"/>
      <c r="F969" s="24" t="s">
        <v>1064</v>
      </c>
      <c r="G969" s="38"/>
      <c r="H969" s="11"/>
      <c r="I969" s="11"/>
      <c r="J969" s="11"/>
      <c r="K969" s="11"/>
      <c r="L969" s="11"/>
      <c r="M969" s="11"/>
      <c r="N969" s="11"/>
      <c r="O969" s="11" t="s">
        <v>725</v>
      </c>
      <c r="P969" s="11"/>
      <c r="Q969" s="11"/>
      <c r="R969" s="11"/>
      <c r="S969" s="24" t="s">
        <v>30</v>
      </c>
      <c r="T969" s="24"/>
      <c r="U969" s="24" t="str">
        <f t="shared" si="26"/>
        <v>x</v>
      </c>
      <c r="V969" s="24"/>
    </row>
    <row r="970" spans="1:22" ht="25.5">
      <c r="A970" s="10" t="s">
        <v>242</v>
      </c>
      <c r="B970" s="11" t="str">
        <f>IFERROR(VLOOKUP(A970,Systems!A:B,2,FALSE),"Various")</f>
        <v>Sounding and de-aeration</v>
      </c>
      <c r="C970" s="11" t="s">
        <v>246</v>
      </c>
      <c r="D970" s="11"/>
      <c r="E970" s="11"/>
      <c r="F970" s="24" t="s">
        <v>1064</v>
      </c>
      <c r="G970" s="38"/>
      <c r="H970" s="11"/>
      <c r="I970" s="11"/>
      <c r="J970" s="11"/>
      <c r="K970" s="11"/>
      <c r="L970" s="11"/>
      <c r="M970" s="11"/>
      <c r="N970" s="11"/>
      <c r="O970" s="11" t="s">
        <v>726</v>
      </c>
      <c r="P970" s="11"/>
      <c r="Q970" s="11"/>
      <c r="R970" s="11"/>
      <c r="S970" s="24" t="s">
        <v>30</v>
      </c>
      <c r="T970" s="24"/>
      <c r="U970" s="24" t="str">
        <f t="shared" si="26"/>
        <v>x</v>
      </c>
      <c r="V970" s="24"/>
    </row>
    <row r="971" spans="1:22" ht="25.5">
      <c r="A971" s="10" t="s">
        <v>242</v>
      </c>
      <c r="B971" s="11" t="str">
        <f>IFERROR(VLOOKUP(A971,Systems!A:B,2,FALSE),"Various")</f>
        <v>Sounding and de-aeration</v>
      </c>
      <c r="C971" s="11" t="s">
        <v>654</v>
      </c>
      <c r="D971" s="11"/>
      <c r="E971" s="11"/>
      <c r="F971" s="24" t="s">
        <v>1064</v>
      </c>
      <c r="G971" s="38"/>
      <c r="H971" s="11"/>
      <c r="I971" s="11"/>
      <c r="J971" s="11"/>
      <c r="K971" s="11"/>
      <c r="L971" s="11"/>
      <c r="M971" s="11"/>
      <c r="N971" s="11"/>
      <c r="O971" s="11" t="s">
        <v>772</v>
      </c>
      <c r="P971" s="11"/>
      <c r="Q971" s="11"/>
      <c r="R971" s="11"/>
      <c r="S971" s="24" t="s">
        <v>30</v>
      </c>
      <c r="T971" s="24"/>
      <c r="U971" s="24" t="str">
        <f t="shared" si="26"/>
        <v>x</v>
      </c>
      <c r="V971" s="24"/>
    </row>
    <row r="972" spans="1:22" ht="25.5">
      <c r="A972" s="10" t="s">
        <v>242</v>
      </c>
      <c r="B972" s="11" t="str">
        <f>IFERROR(VLOOKUP(A972,Systems!A:B,2,FALSE),"Various")</f>
        <v>Sounding and de-aeration</v>
      </c>
      <c r="C972" s="11" t="s">
        <v>654</v>
      </c>
      <c r="D972" s="11"/>
      <c r="E972" s="11"/>
      <c r="F972" s="24" t="s">
        <v>1064</v>
      </c>
      <c r="G972" s="38"/>
      <c r="H972" s="11"/>
      <c r="I972" s="11"/>
      <c r="J972" s="11"/>
      <c r="K972" s="11"/>
      <c r="L972" s="11"/>
      <c r="M972" s="11"/>
      <c r="N972" s="11"/>
      <c r="O972" s="11" t="s">
        <v>773</v>
      </c>
      <c r="P972" s="11"/>
      <c r="Q972" s="11"/>
      <c r="R972" s="11"/>
      <c r="S972" s="24" t="s">
        <v>30</v>
      </c>
      <c r="T972" s="24"/>
      <c r="U972" s="24" t="str">
        <f t="shared" si="26"/>
        <v>x</v>
      </c>
      <c r="V972" s="24"/>
    </row>
    <row r="973" spans="1:22" ht="63.75">
      <c r="A973" s="10" t="s">
        <v>1094</v>
      </c>
      <c r="B973" s="11" t="str">
        <f>IFERROR(VLOOKUP(A973,Systems!A:B,2,FALSE),"Various")</f>
        <v>Various</v>
      </c>
      <c r="C973" s="11" t="s">
        <v>592</v>
      </c>
      <c r="D973" s="11"/>
      <c r="E973" s="11"/>
      <c r="F973" s="24" t="s">
        <v>1064</v>
      </c>
      <c r="G973" s="38"/>
      <c r="H973" s="11"/>
      <c r="I973" s="11"/>
      <c r="J973" s="11"/>
      <c r="K973" s="11"/>
      <c r="L973" s="11"/>
      <c r="M973" s="11" t="s">
        <v>237</v>
      </c>
      <c r="N973" s="11"/>
      <c r="O973" s="11"/>
      <c r="P973" s="11"/>
      <c r="Q973" s="11"/>
      <c r="R973" s="11"/>
      <c r="S973" s="24" t="s">
        <v>30</v>
      </c>
      <c r="T973" s="24"/>
      <c r="U973" s="24"/>
      <c r="V973" s="24"/>
    </row>
    <row r="974" spans="1:22" ht="38.25">
      <c r="A974" s="10" t="s">
        <v>578</v>
      </c>
      <c r="B974" s="11" t="str">
        <f>IFERROR(VLOOKUP(A974,Systems!A:B,2,FALSE),"Various")</f>
        <v>Remote tanksounding system</v>
      </c>
      <c r="C974" s="11" t="s">
        <v>906</v>
      </c>
      <c r="D974" s="11"/>
      <c r="E974" s="11"/>
      <c r="F974" s="24" t="s">
        <v>1064</v>
      </c>
      <c r="G974" s="38"/>
      <c r="H974" s="11"/>
      <c r="I974" s="11"/>
      <c r="J974" s="11"/>
      <c r="K974" s="11"/>
      <c r="L974" s="11"/>
      <c r="M974" s="11" t="s">
        <v>903</v>
      </c>
      <c r="N974" s="11"/>
      <c r="O974" s="11"/>
      <c r="P974" s="11"/>
      <c r="Q974" s="11"/>
      <c r="R974" s="11"/>
      <c r="S974" s="24" t="s">
        <v>30</v>
      </c>
      <c r="T974" s="24"/>
      <c r="U974" s="24"/>
      <c r="V974" s="24"/>
    </row>
    <row r="975" spans="1:22" ht="127.5">
      <c r="A975" s="10" t="s">
        <v>212</v>
      </c>
      <c r="B975" s="11" t="str">
        <f>IFERROR(VLOOKUP(A975,Systems!A:B,2,FALSE),"Various")</f>
        <v>Various</v>
      </c>
      <c r="C975" s="11" t="s">
        <v>101</v>
      </c>
      <c r="D975" s="11"/>
      <c r="E975" s="11"/>
      <c r="F975" s="24" t="s">
        <v>1064</v>
      </c>
      <c r="G975" s="38"/>
      <c r="H975" s="11"/>
      <c r="I975" s="11"/>
      <c r="J975" s="11"/>
      <c r="K975" s="11"/>
      <c r="L975" s="11"/>
      <c r="M975" s="11" t="s">
        <v>593</v>
      </c>
      <c r="N975" s="11"/>
      <c r="O975" s="11"/>
      <c r="P975" s="11"/>
      <c r="Q975" s="11"/>
      <c r="R975" s="11"/>
      <c r="S975" s="24" t="s">
        <v>1305</v>
      </c>
      <c r="T975" s="24"/>
      <c r="U975" s="24"/>
      <c r="V975" s="24"/>
    </row>
    <row r="976" spans="1:22" ht="140.25">
      <c r="A976" s="10" t="s">
        <v>102</v>
      </c>
      <c r="B976" s="11" t="str">
        <f>IFERROR(VLOOKUP(A976,Systems!A:B,2,FALSE),"Various")</f>
        <v>Various</v>
      </c>
      <c r="C976" s="11" t="s">
        <v>101</v>
      </c>
      <c r="D976" s="11"/>
      <c r="E976" s="11"/>
      <c r="F976" s="24" t="s">
        <v>1064</v>
      </c>
      <c r="G976" s="38"/>
      <c r="H976" s="11"/>
      <c r="I976" s="11"/>
      <c r="J976" s="11"/>
      <c r="K976" s="11"/>
      <c r="L976" s="11"/>
      <c r="M976" s="11" t="s">
        <v>594</v>
      </c>
      <c r="N976" s="11"/>
      <c r="O976" s="11"/>
      <c r="P976" s="11"/>
      <c r="Q976" s="11"/>
      <c r="R976" s="11"/>
      <c r="S976" s="24" t="s">
        <v>30</v>
      </c>
      <c r="T976" s="24"/>
      <c r="U976" s="24"/>
      <c r="V976" s="24"/>
    </row>
    <row r="977" spans="1:22" ht="63.75">
      <c r="A977" s="10" t="s">
        <v>179</v>
      </c>
      <c r="B977" s="11" t="str">
        <f>IFERROR(VLOOKUP(A977,Systems!A:B,2,FALSE),"Various")</f>
        <v>Lubrication system</v>
      </c>
      <c r="C977" s="11" t="s">
        <v>400</v>
      </c>
      <c r="D977" s="11"/>
      <c r="E977" s="11"/>
      <c r="F977" s="24" t="s">
        <v>1064</v>
      </c>
      <c r="G977" s="38"/>
      <c r="H977" s="11"/>
      <c r="I977" s="11"/>
      <c r="J977" s="11"/>
      <c r="K977" s="11"/>
      <c r="L977" s="11"/>
      <c r="M977" s="11" t="s">
        <v>399</v>
      </c>
      <c r="N977" s="11"/>
      <c r="O977" s="11"/>
      <c r="P977" s="11"/>
      <c r="Q977" s="11"/>
      <c r="R977" s="11"/>
      <c r="S977" s="24" t="s">
        <v>30</v>
      </c>
      <c r="T977" s="24"/>
      <c r="U977" s="24" t="str">
        <f t="shared" ref="U977:U992" si="27">IF(OR(NOT(H977=""),NOT(M977="")),"","x")</f>
        <v/>
      </c>
      <c r="V977" s="24"/>
    </row>
    <row r="978" spans="1:22" ht="51">
      <c r="A978" s="10" t="s">
        <v>179</v>
      </c>
      <c r="B978" s="11" t="str">
        <f>IFERROR(VLOOKUP(A978,Systems!A:B,2,FALSE),"Various")</f>
        <v>Lubrication system</v>
      </c>
      <c r="C978" s="11" t="s">
        <v>401</v>
      </c>
      <c r="D978" s="11"/>
      <c r="E978" s="11"/>
      <c r="F978" s="24" t="s">
        <v>1064</v>
      </c>
      <c r="G978" s="38"/>
      <c r="H978" s="11"/>
      <c r="I978" s="11"/>
      <c r="J978" s="11"/>
      <c r="K978" s="11"/>
      <c r="L978" s="11"/>
      <c r="M978" s="11" t="s">
        <v>402</v>
      </c>
      <c r="N978" s="11"/>
      <c r="O978" s="11"/>
      <c r="P978" s="11"/>
      <c r="Q978" s="11"/>
      <c r="R978" s="11"/>
      <c r="S978" s="24" t="s">
        <v>30</v>
      </c>
      <c r="T978" s="24"/>
      <c r="U978" s="24" t="str">
        <f t="shared" si="27"/>
        <v/>
      </c>
      <c r="V978" s="24"/>
    </row>
    <row r="979" spans="1:22" ht="76.5">
      <c r="A979" s="10" t="s">
        <v>179</v>
      </c>
      <c r="B979" s="11" t="str">
        <f>IFERROR(VLOOKUP(A979,Systems!A:B,2,FALSE),"Various")</f>
        <v>Lubrication system</v>
      </c>
      <c r="C979" s="11" t="s">
        <v>403</v>
      </c>
      <c r="D979" s="11"/>
      <c r="E979" s="11"/>
      <c r="F979" s="24" t="s">
        <v>1064</v>
      </c>
      <c r="G979" s="38"/>
      <c r="H979" s="11"/>
      <c r="I979" s="11"/>
      <c r="J979" s="11"/>
      <c r="K979" s="11"/>
      <c r="L979" s="11"/>
      <c r="M979" s="11" t="s">
        <v>404</v>
      </c>
      <c r="N979" s="11"/>
      <c r="O979" s="11"/>
      <c r="P979" s="11"/>
      <c r="Q979" s="11"/>
      <c r="R979" s="11"/>
      <c r="S979" s="24" t="s">
        <v>30</v>
      </c>
      <c r="T979" s="24"/>
      <c r="U979" s="24" t="str">
        <f t="shared" si="27"/>
        <v/>
      </c>
      <c r="V979" s="24"/>
    </row>
    <row r="980" spans="1:22" ht="89.25">
      <c r="A980" s="10" t="s">
        <v>179</v>
      </c>
      <c r="B980" s="11" t="str">
        <f>IFERROR(VLOOKUP(A980,Systems!A:B,2,FALSE),"Various")</f>
        <v>Lubrication system</v>
      </c>
      <c r="C980" s="11" t="s">
        <v>94</v>
      </c>
      <c r="D980" s="11"/>
      <c r="E980" s="11"/>
      <c r="F980" s="24" t="s">
        <v>1064</v>
      </c>
      <c r="G980" s="38"/>
      <c r="H980" s="11"/>
      <c r="I980" s="11"/>
      <c r="J980" s="11"/>
      <c r="K980" s="11"/>
      <c r="L980" s="11"/>
      <c r="M980" s="11" t="s">
        <v>405</v>
      </c>
      <c r="N980" s="11"/>
      <c r="O980" s="11"/>
      <c r="P980" s="11"/>
      <c r="Q980" s="11"/>
      <c r="R980" s="11"/>
      <c r="S980" s="24" t="s">
        <v>30</v>
      </c>
      <c r="T980" s="24"/>
      <c r="U980" s="24" t="str">
        <f t="shared" si="27"/>
        <v/>
      </c>
      <c r="V980" s="24"/>
    </row>
    <row r="981" spans="1:22" ht="63.75">
      <c r="A981" s="10" t="s">
        <v>179</v>
      </c>
      <c r="B981" s="11" t="str">
        <f>IFERROR(VLOOKUP(A981,Systems!A:B,2,FALSE),"Various")</f>
        <v>Lubrication system</v>
      </c>
      <c r="C981" s="11" t="s">
        <v>95</v>
      </c>
      <c r="D981" s="11"/>
      <c r="E981" s="11"/>
      <c r="F981" s="24" t="s">
        <v>1064</v>
      </c>
      <c r="G981" s="38"/>
      <c r="H981" s="11"/>
      <c r="I981" s="11"/>
      <c r="J981" s="11"/>
      <c r="K981" s="11"/>
      <c r="L981" s="11"/>
      <c r="M981" s="11" t="s">
        <v>406</v>
      </c>
      <c r="N981" s="11"/>
      <c r="O981" s="11"/>
      <c r="P981" s="11"/>
      <c r="Q981" s="11"/>
      <c r="R981" s="11"/>
      <c r="S981" s="24"/>
      <c r="T981" s="24"/>
      <c r="U981" s="24" t="str">
        <f t="shared" si="27"/>
        <v/>
      </c>
      <c r="V981" s="24"/>
    </row>
    <row r="982" spans="1:22" ht="89.25">
      <c r="A982" s="10" t="s">
        <v>179</v>
      </c>
      <c r="B982" s="11" t="str">
        <f>IFERROR(VLOOKUP(A982,Systems!A:B,2,FALSE),"Various")</f>
        <v>Lubrication system</v>
      </c>
      <c r="C982" s="11" t="s">
        <v>95</v>
      </c>
      <c r="D982" s="11"/>
      <c r="E982" s="11"/>
      <c r="F982" s="24" t="s">
        <v>1064</v>
      </c>
      <c r="G982" s="38"/>
      <c r="H982" s="11"/>
      <c r="I982" s="11"/>
      <c r="J982" s="11"/>
      <c r="K982" s="11"/>
      <c r="L982" s="11"/>
      <c r="M982" s="11" t="s">
        <v>407</v>
      </c>
      <c r="N982" s="11"/>
      <c r="O982" s="11"/>
      <c r="P982" s="11"/>
      <c r="Q982" s="11"/>
      <c r="R982" s="11"/>
      <c r="S982" s="24"/>
      <c r="T982" s="24"/>
      <c r="U982" s="24" t="str">
        <f t="shared" si="27"/>
        <v/>
      </c>
      <c r="V982" s="24"/>
    </row>
    <row r="983" spans="1:22" ht="51">
      <c r="A983" s="10" t="s">
        <v>179</v>
      </c>
      <c r="B983" s="11" t="str">
        <f>IFERROR(VLOOKUP(A983,Systems!A:B,2,FALSE),"Various")</f>
        <v>Lubrication system</v>
      </c>
      <c r="C983" s="11" t="s">
        <v>96</v>
      </c>
      <c r="D983" s="11"/>
      <c r="E983" s="11"/>
      <c r="F983" s="24" t="s">
        <v>1064</v>
      </c>
      <c r="G983" s="38"/>
      <c r="H983" s="11"/>
      <c r="I983" s="11"/>
      <c r="J983" s="11"/>
      <c r="K983" s="11"/>
      <c r="L983" s="11"/>
      <c r="M983" s="11" t="s">
        <v>408</v>
      </c>
      <c r="N983" s="11"/>
      <c r="O983" s="11"/>
      <c r="P983" s="11"/>
      <c r="Q983" s="11"/>
      <c r="R983" s="11"/>
      <c r="S983" s="24"/>
      <c r="T983" s="24"/>
      <c r="U983" s="24" t="str">
        <f t="shared" si="27"/>
        <v/>
      </c>
      <c r="V983" s="24"/>
    </row>
    <row r="984" spans="1:22" ht="178.5">
      <c r="A984" s="10" t="s">
        <v>205</v>
      </c>
      <c r="B984" s="11" t="str">
        <f>IFERROR(VLOOKUP(A984,Systems!A:B,2,FALSE),"Various")</f>
        <v>Various</v>
      </c>
      <c r="C984" s="11" t="s">
        <v>597</v>
      </c>
      <c r="D984" s="11"/>
      <c r="E984" s="11"/>
      <c r="F984" s="24" t="s">
        <v>1064</v>
      </c>
      <c r="G984" s="38"/>
      <c r="H984" s="11"/>
      <c r="I984" s="11"/>
      <c r="J984" s="11"/>
      <c r="K984" s="11"/>
      <c r="L984" s="11"/>
      <c r="M984" s="11" t="s">
        <v>595</v>
      </c>
      <c r="N984" s="11"/>
      <c r="O984" s="11"/>
      <c r="P984" s="11"/>
      <c r="Q984" s="11"/>
      <c r="R984" s="11"/>
      <c r="S984" s="24"/>
      <c r="T984" s="24"/>
      <c r="U984" s="24" t="str">
        <f t="shared" si="27"/>
        <v/>
      </c>
      <c r="V984" s="24"/>
    </row>
    <row r="985" spans="1:22" ht="38.25">
      <c r="A985" s="10" t="s">
        <v>205</v>
      </c>
      <c r="B985" s="11" t="str">
        <f>IFERROR(VLOOKUP(A985,Systems!A:B,2,FALSE),"Various")</f>
        <v>Various</v>
      </c>
      <c r="C985" s="11" t="s">
        <v>597</v>
      </c>
      <c r="D985" s="11"/>
      <c r="E985" s="11"/>
      <c r="F985" s="24" t="s">
        <v>1064</v>
      </c>
      <c r="G985" s="38"/>
      <c r="H985" s="11"/>
      <c r="I985" s="11"/>
      <c r="J985" s="11"/>
      <c r="K985" s="11"/>
      <c r="L985" s="11"/>
      <c r="M985" s="11" t="s">
        <v>596</v>
      </c>
      <c r="N985" s="11"/>
      <c r="O985" s="11"/>
      <c r="P985" s="11"/>
      <c r="Q985" s="11"/>
      <c r="R985" s="11"/>
      <c r="S985" s="24"/>
      <c r="T985" s="24"/>
      <c r="U985" s="24" t="str">
        <f t="shared" si="27"/>
        <v/>
      </c>
      <c r="V985" s="24"/>
    </row>
    <row r="986" spans="1:22" ht="38.25">
      <c r="A986" s="10" t="s">
        <v>180</v>
      </c>
      <c r="B986" s="11" t="str">
        <f>IFERROR(VLOOKUP(A986,Systems!A:B,2,FALSE),"Various")</f>
        <v>Dirty-oil system</v>
      </c>
      <c r="C986" s="11" t="s">
        <v>416</v>
      </c>
      <c r="D986" s="11"/>
      <c r="E986" s="11"/>
      <c r="F986" s="24" t="s">
        <v>1064</v>
      </c>
      <c r="G986" s="38"/>
      <c r="H986" s="11"/>
      <c r="I986" s="11"/>
      <c r="J986" s="11"/>
      <c r="K986" s="11"/>
      <c r="L986" s="11"/>
      <c r="M986" s="11"/>
      <c r="N986" s="11"/>
      <c r="O986" s="11"/>
      <c r="P986" s="11" t="s">
        <v>418</v>
      </c>
      <c r="Q986" s="11"/>
      <c r="R986" s="11"/>
      <c r="S986" s="24"/>
      <c r="T986" s="24"/>
      <c r="U986" s="24" t="str">
        <f t="shared" si="27"/>
        <v>x</v>
      </c>
      <c r="V986" s="24"/>
    </row>
    <row r="987" spans="1:22" ht="114.75">
      <c r="A987" s="10" t="s">
        <v>180</v>
      </c>
      <c r="B987" s="11" t="str">
        <f>IFERROR(VLOOKUP(A987,Systems!A:B,2,FALSE),"Various")</f>
        <v>Dirty-oil system</v>
      </c>
      <c r="C987" s="11" t="s">
        <v>42</v>
      </c>
      <c r="D987" s="11"/>
      <c r="E987" s="11"/>
      <c r="F987" s="24" t="s">
        <v>1064</v>
      </c>
      <c r="G987" s="38"/>
      <c r="H987" s="11"/>
      <c r="I987" s="11"/>
      <c r="J987" s="11"/>
      <c r="K987" s="11"/>
      <c r="L987" s="11"/>
      <c r="M987" s="11"/>
      <c r="N987" s="11"/>
      <c r="O987" s="11"/>
      <c r="P987" s="11" t="s">
        <v>518</v>
      </c>
      <c r="Q987" s="11"/>
      <c r="R987" s="11"/>
      <c r="S987" s="24"/>
      <c r="T987" s="24"/>
      <c r="U987" s="24" t="str">
        <f t="shared" si="27"/>
        <v>x</v>
      </c>
      <c r="V987" s="24"/>
    </row>
    <row r="988" spans="1:22" ht="76.5">
      <c r="A988" s="10" t="s">
        <v>180</v>
      </c>
      <c r="B988" s="11" t="str">
        <f>IFERROR(VLOOKUP(A988,Systems!A:B,2,FALSE),"Various")</f>
        <v>Dirty-oil system</v>
      </c>
      <c r="C988" s="11" t="s">
        <v>409</v>
      </c>
      <c r="D988" s="11"/>
      <c r="E988" s="11"/>
      <c r="F988" s="24" t="s">
        <v>1064</v>
      </c>
      <c r="G988" s="38"/>
      <c r="H988" s="11"/>
      <c r="I988" s="11"/>
      <c r="J988" s="11"/>
      <c r="K988" s="11"/>
      <c r="L988" s="11"/>
      <c r="M988" s="11" t="s">
        <v>412</v>
      </c>
      <c r="N988" s="11"/>
      <c r="O988" s="11"/>
      <c r="P988" s="11" t="s">
        <v>410</v>
      </c>
      <c r="Q988" s="11"/>
      <c r="R988" s="11"/>
      <c r="S988" s="24" t="s">
        <v>30</v>
      </c>
      <c r="T988" s="24"/>
      <c r="U988" s="24" t="str">
        <f t="shared" si="27"/>
        <v/>
      </c>
      <c r="V988" s="24"/>
    </row>
    <row r="989" spans="1:22" ht="51">
      <c r="A989" s="10" t="s">
        <v>180</v>
      </c>
      <c r="B989" s="11" t="str">
        <f>IFERROR(VLOOKUP(A989,Systems!A:B,2,FALSE),"Various")</f>
        <v>Dirty-oil system</v>
      </c>
      <c r="C989" s="11" t="s">
        <v>415</v>
      </c>
      <c r="D989" s="11"/>
      <c r="E989" s="11"/>
      <c r="F989" s="24" t="s">
        <v>1064</v>
      </c>
      <c r="G989" s="38"/>
      <c r="H989" s="11"/>
      <c r="I989" s="11"/>
      <c r="J989" s="11"/>
      <c r="K989" s="11"/>
      <c r="L989" s="11"/>
      <c r="M989" s="11" t="s">
        <v>413</v>
      </c>
      <c r="N989" s="11"/>
      <c r="O989" s="11"/>
      <c r="P989" s="11"/>
      <c r="Q989" s="11"/>
      <c r="R989" s="11"/>
      <c r="S989" s="24"/>
      <c r="T989" s="24"/>
      <c r="U989" s="24" t="str">
        <f t="shared" si="27"/>
        <v/>
      </c>
      <c r="V989" s="24"/>
    </row>
    <row r="990" spans="1:22" ht="178.5">
      <c r="A990" s="10" t="s">
        <v>180</v>
      </c>
      <c r="B990" s="11" t="str">
        <f>IFERROR(VLOOKUP(A990,Systems!A:B,2,FALSE),"Various")</f>
        <v>Dirty-oil system</v>
      </c>
      <c r="C990" s="11" t="s">
        <v>183</v>
      </c>
      <c r="D990" s="11"/>
      <c r="E990" s="11"/>
      <c r="F990" s="24" t="s">
        <v>1064</v>
      </c>
      <c r="G990" s="38"/>
      <c r="H990" s="11"/>
      <c r="I990" s="11"/>
      <c r="J990" s="11"/>
      <c r="K990" s="11"/>
      <c r="L990" s="11"/>
      <c r="M990" s="11" t="s">
        <v>598</v>
      </c>
      <c r="N990" s="11"/>
      <c r="O990" s="11"/>
      <c r="P990" s="11"/>
      <c r="Q990" s="11"/>
      <c r="R990" s="11"/>
      <c r="S990" s="24" t="s">
        <v>30</v>
      </c>
      <c r="T990" s="24"/>
      <c r="U990" s="24" t="str">
        <f t="shared" si="27"/>
        <v/>
      </c>
      <c r="V990" s="24"/>
    </row>
    <row r="991" spans="1:22" ht="38.25">
      <c r="A991" s="10" t="s">
        <v>181</v>
      </c>
      <c r="B991" s="11" t="str">
        <f>IFERROR(VLOOKUP(A991,Systems!A:B,2,FALSE),"Various")</f>
        <v>Sludge system</v>
      </c>
      <c r="C991" s="11" t="s">
        <v>417</v>
      </c>
      <c r="D991" s="11"/>
      <c r="E991" s="11"/>
      <c r="F991" s="24" t="s">
        <v>1064</v>
      </c>
      <c r="G991" s="38"/>
      <c r="H991" s="11"/>
      <c r="I991" s="11"/>
      <c r="J991" s="11"/>
      <c r="K991" s="11"/>
      <c r="L991" s="11"/>
      <c r="M991" s="11" t="s">
        <v>419</v>
      </c>
      <c r="N991" s="11"/>
      <c r="O991" s="11"/>
      <c r="P991" s="11"/>
      <c r="Q991" s="11"/>
      <c r="R991" s="11"/>
      <c r="S991" s="24" t="s">
        <v>30</v>
      </c>
      <c r="T991" s="24"/>
      <c r="U991" s="24" t="str">
        <f t="shared" si="27"/>
        <v/>
      </c>
      <c r="V991" s="24"/>
    </row>
    <row r="992" spans="1:22" ht="178.5">
      <c r="A992" s="10" t="s">
        <v>432</v>
      </c>
      <c r="B992" s="11" t="str">
        <f>IFERROR(VLOOKUP(A992,Systems!A:B,2,FALSE),"Various")</f>
        <v>HVAC system</v>
      </c>
      <c r="C992" s="11" t="s">
        <v>145</v>
      </c>
      <c r="D992" s="11"/>
      <c r="E992" s="11"/>
      <c r="F992" s="24" t="s">
        <v>1064</v>
      </c>
      <c r="G992" s="38"/>
      <c r="H992" s="11"/>
      <c r="I992" s="11"/>
      <c r="J992" s="11"/>
      <c r="K992" s="11"/>
      <c r="L992" s="11"/>
      <c r="M992" s="11" t="s">
        <v>420</v>
      </c>
      <c r="N992" s="11"/>
      <c r="O992" s="11"/>
      <c r="P992" s="11"/>
      <c r="Q992" s="11"/>
      <c r="R992" s="11"/>
      <c r="S992" s="24" t="s">
        <v>30</v>
      </c>
      <c r="T992" s="24"/>
      <c r="U992" s="24" t="str">
        <f t="shared" si="27"/>
        <v/>
      </c>
      <c r="V992" s="24"/>
    </row>
    <row r="993" spans="1:22" ht="102">
      <c r="A993" s="10" t="s">
        <v>432</v>
      </c>
      <c r="B993" s="11" t="str">
        <f>IFERROR(VLOOKUP(A993,Systems!A:B,2,FALSE),"Various")</f>
        <v>HVAC system</v>
      </c>
      <c r="C993" s="11" t="s">
        <v>146</v>
      </c>
      <c r="D993" s="11"/>
      <c r="E993" s="11"/>
      <c r="F993" s="24" t="s">
        <v>1064</v>
      </c>
      <c r="G993" s="38"/>
      <c r="H993" s="11"/>
      <c r="I993" s="11"/>
      <c r="J993" s="11"/>
      <c r="K993" s="11"/>
      <c r="L993" s="11"/>
      <c r="M993" s="11" t="s">
        <v>421</v>
      </c>
      <c r="N993" s="11"/>
      <c r="O993" s="11"/>
      <c r="P993" s="11"/>
      <c r="Q993" s="11"/>
      <c r="R993" s="11"/>
      <c r="S993" s="24" t="s">
        <v>30</v>
      </c>
      <c r="T993" s="24"/>
      <c r="U993" s="24"/>
      <c r="V993" s="24"/>
    </row>
    <row r="994" spans="1:22" ht="63.75">
      <c r="A994" s="10" t="s">
        <v>432</v>
      </c>
      <c r="B994" s="11" t="str">
        <f>IFERROR(VLOOKUP(A994,Systems!A:B,2,FALSE),"Various")</f>
        <v>HVAC system</v>
      </c>
      <c r="C994" s="11" t="s">
        <v>426</v>
      </c>
      <c r="D994" s="11"/>
      <c r="E994" s="11"/>
      <c r="F994" s="24" t="s">
        <v>1064</v>
      </c>
      <c r="G994" s="38"/>
      <c r="H994" s="11"/>
      <c r="I994" s="11"/>
      <c r="J994" s="11"/>
      <c r="K994" s="11"/>
      <c r="L994" s="11"/>
      <c r="M994" s="11" t="s">
        <v>422</v>
      </c>
      <c r="N994" s="11"/>
      <c r="O994" s="11"/>
      <c r="P994" s="11"/>
      <c r="Q994" s="11"/>
      <c r="R994" s="11"/>
      <c r="S994" s="24" t="s">
        <v>30</v>
      </c>
      <c r="T994" s="24"/>
      <c r="U994" s="24" t="str">
        <f>IF(OR(NOT(H994=""),NOT(M994="")),"","x")</f>
        <v/>
      </c>
      <c r="V994" s="24"/>
    </row>
    <row r="995" spans="1:22" ht="140.25">
      <c r="A995" s="10" t="s">
        <v>432</v>
      </c>
      <c r="B995" s="11" t="str">
        <f>IFERROR(VLOOKUP(A995,Systems!A:B,2,FALSE),"Various")</f>
        <v>HVAC system</v>
      </c>
      <c r="C995" s="11" t="s">
        <v>147</v>
      </c>
      <c r="D995" s="11"/>
      <c r="E995" s="11"/>
      <c r="F995" s="24" t="s">
        <v>1064</v>
      </c>
      <c r="G995" s="38"/>
      <c r="H995" s="11"/>
      <c r="I995" s="11"/>
      <c r="J995" s="11"/>
      <c r="K995" s="11"/>
      <c r="L995" s="11"/>
      <c r="M995" s="11" t="s">
        <v>423</v>
      </c>
      <c r="N995" s="11"/>
      <c r="O995" s="11"/>
      <c r="P995" s="11"/>
      <c r="Q995" s="11"/>
      <c r="R995" s="11"/>
      <c r="S995" s="24" t="s">
        <v>30</v>
      </c>
      <c r="T995" s="24"/>
      <c r="U995" s="24" t="str">
        <f>IF(OR(NOT(H995=""),NOT(M995="")),"","x")</f>
        <v/>
      </c>
      <c r="V995" s="24"/>
    </row>
    <row r="996" spans="1:22" ht="51">
      <c r="A996" s="10" t="s">
        <v>210</v>
      </c>
      <c r="B996" s="11" t="str">
        <f>IFERROR(VLOOKUP(A996,Systems!A:B,2,FALSE),"Various")</f>
        <v>Various</v>
      </c>
      <c r="C996" s="11" t="s">
        <v>165</v>
      </c>
      <c r="D996" s="11"/>
      <c r="E996" s="11"/>
      <c r="F996" s="24" t="s">
        <v>1064</v>
      </c>
      <c r="G996" s="38"/>
      <c r="H996" s="11"/>
      <c r="I996" s="11"/>
      <c r="J996" s="11"/>
      <c r="K996" s="11"/>
      <c r="L996" s="11"/>
      <c r="M996" s="11" t="s">
        <v>599</v>
      </c>
      <c r="N996" s="11"/>
      <c r="O996" s="11"/>
      <c r="P996" s="11"/>
      <c r="Q996" s="11"/>
      <c r="R996" s="11"/>
      <c r="S996" s="24" t="s">
        <v>30</v>
      </c>
      <c r="T996" s="24"/>
      <c r="U996" s="24" t="str">
        <f>IF(OR(NOT(H996=""),NOT(M996="")),"","x")</f>
        <v/>
      </c>
      <c r="V996" s="24"/>
    </row>
    <row r="997" spans="1:22">
      <c r="A997" s="10" t="s">
        <v>433</v>
      </c>
      <c r="B997" s="11" t="str">
        <f>IFERROR(VLOOKUP(A997,Systems!A:B,2,FALSE),"Various")</f>
        <v>Ventilation system</v>
      </c>
      <c r="C997" s="11" t="s">
        <v>243</v>
      </c>
      <c r="D997" s="11"/>
      <c r="E997" s="11"/>
      <c r="F997" s="24" t="s">
        <v>1064</v>
      </c>
      <c r="G997" s="38"/>
      <c r="H997" s="11"/>
      <c r="I997" s="11"/>
      <c r="J997" s="11"/>
      <c r="K997" s="11"/>
      <c r="L997" s="11"/>
      <c r="M997" s="11"/>
      <c r="N997" s="11"/>
      <c r="O997" s="11" t="s">
        <v>693</v>
      </c>
      <c r="P997" s="11"/>
      <c r="Q997" s="11"/>
      <c r="R997" s="11"/>
      <c r="S997" s="24" t="s">
        <v>30</v>
      </c>
      <c r="T997" s="24" t="s">
        <v>30</v>
      </c>
      <c r="U997" s="24" t="str">
        <f>IF(OR(NOT(H997=""),NOT(M997="")),"","x")</f>
        <v>x</v>
      </c>
      <c r="V997" s="24"/>
    </row>
    <row r="998" spans="1:22" ht="102">
      <c r="A998" s="10" t="s">
        <v>433</v>
      </c>
      <c r="B998" s="11" t="str">
        <f>IFERROR(VLOOKUP(A998,Systems!A:B,2,FALSE),"Various")</f>
        <v>Ventilation system</v>
      </c>
      <c r="C998" s="11" t="s">
        <v>83</v>
      </c>
      <c r="D998" s="11"/>
      <c r="E998" s="11"/>
      <c r="F998" s="24" t="s">
        <v>1064</v>
      </c>
      <c r="G998" s="38"/>
      <c r="H998" s="11"/>
      <c r="I998" s="11"/>
      <c r="J998" s="11"/>
      <c r="K998" s="11"/>
      <c r="L998" s="11"/>
      <c r="M998" s="11" t="s">
        <v>429</v>
      </c>
      <c r="N998" s="11"/>
      <c r="O998" s="11"/>
      <c r="P998" s="11"/>
      <c r="Q998" s="11"/>
      <c r="R998" s="11"/>
      <c r="S998" s="24" t="s">
        <v>1305</v>
      </c>
      <c r="T998" s="24"/>
      <c r="U998" s="24"/>
      <c r="V998" s="24"/>
    </row>
    <row r="999" spans="1:22" ht="306">
      <c r="A999" s="10" t="s">
        <v>433</v>
      </c>
      <c r="B999" s="11" t="str">
        <f>IFERROR(VLOOKUP(A999,Systems!A:B,2,FALSE),"Various")</f>
        <v>Ventilation system</v>
      </c>
      <c r="C999" s="11" t="s">
        <v>427</v>
      </c>
      <c r="D999" s="11"/>
      <c r="E999" s="11"/>
      <c r="F999" s="24" t="s">
        <v>1064</v>
      </c>
      <c r="G999" s="38"/>
      <c r="H999" s="11"/>
      <c r="I999" s="11"/>
      <c r="J999" s="11"/>
      <c r="K999" s="11"/>
      <c r="L999" s="11"/>
      <c r="M999" s="11" t="s">
        <v>425</v>
      </c>
      <c r="N999" s="11"/>
      <c r="O999" s="11"/>
      <c r="P999" s="11"/>
      <c r="Q999" s="11"/>
      <c r="R999" s="11"/>
      <c r="S999" s="24" t="s">
        <v>30</v>
      </c>
      <c r="T999" s="24"/>
      <c r="U999" s="24" t="str">
        <f t="shared" ref="U999:U1013" si="28">IF(OR(NOT(H999=""),NOT(M999="")),"","x")</f>
        <v/>
      </c>
      <c r="V999" s="24"/>
    </row>
    <row r="1000" spans="1:22" ht="127.5">
      <c r="A1000" s="10" t="s">
        <v>433</v>
      </c>
      <c r="B1000" s="11" t="str">
        <f>IFERROR(VLOOKUP(A1000,Systems!A:B,2,FALSE),"Various")</f>
        <v>Ventilation system</v>
      </c>
      <c r="C1000" s="11" t="s">
        <v>431</v>
      </c>
      <c r="D1000" s="11"/>
      <c r="E1000" s="11"/>
      <c r="F1000" s="24" t="s">
        <v>1064</v>
      </c>
      <c r="G1000" s="38"/>
      <c r="H1000" s="11"/>
      <c r="I1000" s="11"/>
      <c r="J1000" s="11"/>
      <c r="K1000" s="11"/>
      <c r="L1000" s="11"/>
      <c r="M1000" s="11" t="s">
        <v>430</v>
      </c>
      <c r="N1000" s="11"/>
      <c r="O1000" s="11"/>
      <c r="P1000" s="11"/>
      <c r="Q1000" s="11"/>
      <c r="R1000" s="11"/>
      <c r="S1000" s="24" t="s">
        <v>30</v>
      </c>
      <c r="T1000" s="24"/>
      <c r="U1000" s="24" t="str">
        <f t="shared" si="28"/>
        <v/>
      </c>
      <c r="V1000" s="24"/>
    </row>
    <row r="1001" spans="1:22" ht="255">
      <c r="A1001" s="10" t="s">
        <v>163</v>
      </c>
      <c r="B1001" s="11" t="str">
        <f>IFERROR(VLOOKUP(A1001,Systems!A:B,2,FALSE),"Various")</f>
        <v>Air-conditioning system</v>
      </c>
      <c r="C1001" s="11" t="s">
        <v>434</v>
      </c>
      <c r="D1001" s="11"/>
      <c r="E1001" s="11"/>
      <c r="F1001" s="24" t="s">
        <v>1064</v>
      </c>
      <c r="G1001" s="38"/>
      <c r="H1001" s="11"/>
      <c r="I1001" s="11"/>
      <c r="J1001" s="11"/>
      <c r="K1001" s="11"/>
      <c r="L1001" s="11"/>
      <c r="M1001" s="11" t="s">
        <v>428</v>
      </c>
      <c r="N1001" s="11"/>
      <c r="O1001" s="11"/>
      <c r="P1001" s="11"/>
      <c r="Q1001" s="11"/>
      <c r="R1001" s="11"/>
      <c r="S1001" s="24" t="s">
        <v>30</v>
      </c>
      <c r="T1001" s="24"/>
      <c r="U1001" s="24" t="str">
        <f t="shared" si="28"/>
        <v/>
      </c>
      <c r="V1001" s="24"/>
    </row>
    <row r="1002" spans="1:22" ht="127.5">
      <c r="A1002" s="10" t="s">
        <v>163</v>
      </c>
      <c r="B1002" s="11" t="str">
        <f>IFERROR(VLOOKUP(A1002,Systems!A:B,2,FALSE),"Various")</f>
        <v>Air-conditioning system</v>
      </c>
      <c r="C1002" s="11" t="s">
        <v>435</v>
      </c>
      <c r="D1002" s="11"/>
      <c r="E1002" s="11"/>
      <c r="F1002" s="24" t="s">
        <v>1064</v>
      </c>
      <c r="G1002" s="38"/>
      <c r="H1002" s="11"/>
      <c r="I1002" s="11"/>
      <c r="J1002" s="11"/>
      <c r="K1002" s="11"/>
      <c r="L1002" s="11"/>
      <c r="M1002" s="11" t="s">
        <v>915</v>
      </c>
      <c r="N1002" s="11"/>
      <c r="O1002" s="11"/>
      <c r="P1002" s="11"/>
      <c r="Q1002" s="11"/>
      <c r="R1002" s="11"/>
      <c r="S1002" s="24" t="s">
        <v>30</v>
      </c>
      <c r="T1002" s="24"/>
      <c r="U1002" s="24" t="str">
        <f t="shared" si="28"/>
        <v/>
      </c>
      <c r="V1002" s="24"/>
    </row>
    <row r="1003" spans="1:22" ht="25.5">
      <c r="A1003" s="10" t="s">
        <v>163</v>
      </c>
      <c r="B1003" s="11" t="str">
        <f>IFERROR(VLOOKUP(A1003,Systems!A:B,2,FALSE),"Various")</f>
        <v>Air-conditioning system</v>
      </c>
      <c r="C1003" s="11" t="s">
        <v>164</v>
      </c>
      <c r="D1003" s="11"/>
      <c r="E1003" s="11"/>
      <c r="F1003" s="24" t="s">
        <v>1064</v>
      </c>
      <c r="G1003" s="38"/>
      <c r="H1003" s="11"/>
      <c r="I1003" s="11"/>
      <c r="J1003" s="11"/>
      <c r="K1003" s="11"/>
      <c r="L1003" s="11"/>
      <c r="M1003" s="11" t="s">
        <v>600</v>
      </c>
      <c r="N1003" s="11"/>
      <c r="O1003" s="11"/>
      <c r="P1003" s="11"/>
      <c r="Q1003" s="11"/>
      <c r="R1003" s="11"/>
      <c r="S1003" s="24" t="s">
        <v>30</v>
      </c>
      <c r="T1003" s="24"/>
      <c r="U1003" s="24" t="str">
        <f t="shared" si="28"/>
        <v/>
      </c>
      <c r="V1003" s="24"/>
    </row>
    <row r="1004" spans="1:22" ht="409.5">
      <c r="A1004" s="10" t="s">
        <v>163</v>
      </c>
      <c r="B1004" s="11" t="str">
        <f>IFERROR(VLOOKUP(A1004,Systems!A:B,2,FALSE),"Various")</f>
        <v>Air-conditioning system</v>
      </c>
      <c r="C1004" s="11" t="s">
        <v>881</v>
      </c>
      <c r="D1004" s="11"/>
      <c r="E1004" s="11"/>
      <c r="F1004" s="24" t="s">
        <v>1064</v>
      </c>
      <c r="G1004" s="38"/>
      <c r="H1004" s="11"/>
      <c r="I1004" s="11"/>
      <c r="J1004" s="11"/>
      <c r="K1004" s="11"/>
      <c r="L1004" s="11"/>
      <c r="M1004" s="11"/>
      <c r="N1004" s="11" t="s">
        <v>882</v>
      </c>
      <c r="O1004" s="11"/>
      <c r="P1004" s="11"/>
      <c r="Q1004" s="11"/>
      <c r="R1004" s="11"/>
      <c r="S1004" s="24" t="s">
        <v>30</v>
      </c>
      <c r="T1004" s="24"/>
      <c r="U1004" s="24" t="str">
        <f t="shared" si="28"/>
        <v>x</v>
      </c>
      <c r="V1004" s="24"/>
    </row>
    <row r="1005" spans="1:22" ht="204">
      <c r="A1005" s="10" t="s">
        <v>176</v>
      </c>
      <c r="B1005" s="11" t="str">
        <f>IFERROR(VLOOKUP(A1005,Systems!A:B,2,FALSE),"Various")</f>
        <v>Heating system</v>
      </c>
      <c r="C1005" s="11" t="s">
        <v>437</v>
      </c>
      <c r="D1005" s="11"/>
      <c r="E1005" s="11"/>
      <c r="F1005" s="24" t="s">
        <v>1064</v>
      </c>
      <c r="G1005" s="38"/>
      <c r="H1005" s="11"/>
      <c r="I1005" s="11"/>
      <c r="J1005" s="11"/>
      <c r="K1005" s="11"/>
      <c r="L1005" s="11"/>
      <c r="M1005" s="11" t="s">
        <v>436</v>
      </c>
      <c r="N1005" s="11"/>
      <c r="O1005" s="11"/>
      <c r="P1005" s="11"/>
      <c r="Q1005" s="11"/>
      <c r="R1005" s="11"/>
      <c r="S1005" s="24"/>
      <c r="T1005" s="24"/>
      <c r="U1005" s="24" t="str">
        <f t="shared" si="28"/>
        <v/>
      </c>
      <c r="V1005" s="24"/>
    </row>
    <row r="1006" spans="1:22">
      <c r="A1006" s="10" t="s">
        <v>176</v>
      </c>
      <c r="B1006" s="11" t="str">
        <f>IFERROR(VLOOKUP(A1006,Systems!A:B,2,FALSE),"Various")</f>
        <v>Heating system</v>
      </c>
      <c r="C1006" s="11" t="s">
        <v>175</v>
      </c>
      <c r="D1006" s="11"/>
      <c r="E1006" s="11"/>
      <c r="F1006" s="24" t="s">
        <v>1064</v>
      </c>
      <c r="G1006" s="38"/>
      <c r="H1006" s="11"/>
      <c r="I1006" s="11"/>
      <c r="J1006" s="11"/>
      <c r="K1006" s="11"/>
      <c r="L1006" s="11"/>
      <c r="M1006" s="11" t="s">
        <v>601</v>
      </c>
      <c r="N1006" s="11"/>
      <c r="O1006" s="11"/>
      <c r="P1006" s="11"/>
      <c r="Q1006" s="11"/>
      <c r="R1006" s="11"/>
      <c r="S1006" s="24" t="s">
        <v>30</v>
      </c>
      <c r="T1006" s="24"/>
      <c r="U1006" s="24" t="str">
        <f t="shared" si="28"/>
        <v/>
      </c>
      <c r="V1006" s="24"/>
    </row>
    <row r="1007" spans="1:22" ht="127.5">
      <c r="A1007" s="10" t="s">
        <v>815</v>
      </c>
      <c r="B1007" s="11" t="str">
        <f>IFERROR(VLOOKUP(A1007,Systems!A:B,2,FALSE),"Various")</f>
        <v>Exhaust system</v>
      </c>
      <c r="C1007" s="11" t="s">
        <v>49</v>
      </c>
      <c r="D1007" s="11"/>
      <c r="E1007" s="11"/>
      <c r="F1007" s="24" t="s">
        <v>1064</v>
      </c>
      <c r="G1007" s="38"/>
      <c r="H1007" s="11"/>
      <c r="I1007" s="11"/>
      <c r="J1007" s="11"/>
      <c r="K1007" s="11"/>
      <c r="L1007" s="11"/>
      <c r="M1007" s="11" t="s">
        <v>439</v>
      </c>
      <c r="N1007" s="11"/>
      <c r="O1007" s="11"/>
      <c r="P1007" s="11"/>
      <c r="Q1007" s="11"/>
      <c r="R1007" s="11"/>
      <c r="S1007" s="24" t="s">
        <v>30</v>
      </c>
      <c r="T1007" s="24"/>
      <c r="U1007" s="24" t="str">
        <f t="shared" si="28"/>
        <v/>
      </c>
      <c r="V1007" s="24"/>
    </row>
    <row r="1008" spans="1:22" ht="51">
      <c r="A1008" s="10" t="s">
        <v>815</v>
      </c>
      <c r="B1008" s="11" t="str">
        <f>IFERROR(VLOOKUP(A1008,Systems!A:B,2,FALSE),"Various")</f>
        <v>Exhaust system</v>
      </c>
      <c r="C1008" s="11" t="s">
        <v>49</v>
      </c>
      <c r="D1008" s="11"/>
      <c r="E1008" s="11"/>
      <c r="F1008" s="24" t="s">
        <v>1064</v>
      </c>
      <c r="G1008" s="38"/>
      <c r="H1008" s="11"/>
      <c r="I1008" s="11"/>
      <c r="J1008" s="11"/>
      <c r="K1008" s="11"/>
      <c r="L1008" s="11"/>
      <c r="M1008" s="11" t="s">
        <v>440</v>
      </c>
      <c r="N1008" s="11"/>
      <c r="O1008" s="11"/>
      <c r="P1008" s="11"/>
      <c r="Q1008" s="11"/>
      <c r="R1008" s="11"/>
      <c r="S1008" s="24" t="s">
        <v>30</v>
      </c>
      <c r="T1008" s="24"/>
      <c r="U1008" s="24" t="str">
        <f t="shared" si="28"/>
        <v/>
      </c>
      <c r="V1008" s="24"/>
    </row>
    <row r="1009" spans="1:22" ht="51">
      <c r="A1009" s="10" t="s">
        <v>815</v>
      </c>
      <c r="B1009" s="11" t="str">
        <f>IFERROR(VLOOKUP(A1009,Systems!A:B,2,FALSE),"Various")</f>
        <v>Exhaust system</v>
      </c>
      <c r="C1009" s="11" t="s">
        <v>447</v>
      </c>
      <c r="D1009" s="11"/>
      <c r="E1009" s="11"/>
      <c r="F1009" s="24" t="s">
        <v>1064</v>
      </c>
      <c r="G1009" s="38"/>
      <c r="H1009" s="11"/>
      <c r="I1009" s="11"/>
      <c r="J1009" s="11"/>
      <c r="K1009" s="11"/>
      <c r="L1009" s="11"/>
      <c r="M1009" s="11" t="s">
        <v>444</v>
      </c>
      <c r="N1009" s="11"/>
      <c r="O1009" s="11"/>
      <c r="P1009" s="11"/>
      <c r="Q1009" s="11"/>
      <c r="R1009" s="11"/>
      <c r="S1009" s="24" t="s">
        <v>30</v>
      </c>
      <c r="T1009" s="24"/>
      <c r="U1009" s="24" t="str">
        <f t="shared" si="28"/>
        <v/>
      </c>
      <c r="V1009" s="24"/>
    </row>
    <row r="1010" spans="1:22" ht="51">
      <c r="A1010" s="10" t="s">
        <v>815</v>
      </c>
      <c r="B1010" s="11" t="str">
        <f>IFERROR(VLOOKUP(A1010,Systems!A:B,2,FALSE),"Various")</f>
        <v>Exhaust system</v>
      </c>
      <c r="C1010" s="11" t="s">
        <v>450</v>
      </c>
      <c r="D1010" s="11"/>
      <c r="E1010" s="11"/>
      <c r="F1010" s="24" t="s">
        <v>1064</v>
      </c>
      <c r="G1010" s="38"/>
      <c r="H1010" s="11"/>
      <c r="I1010" s="11"/>
      <c r="J1010" s="11"/>
      <c r="K1010" s="11"/>
      <c r="L1010" s="11"/>
      <c r="M1010" s="11" t="s">
        <v>443</v>
      </c>
      <c r="N1010" s="11"/>
      <c r="O1010" s="11"/>
      <c r="P1010" s="11"/>
      <c r="Q1010" s="11"/>
      <c r="R1010" s="11"/>
      <c r="S1010" s="24" t="s">
        <v>30</v>
      </c>
      <c r="T1010" s="24"/>
      <c r="U1010" s="24" t="str">
        <f t="shared" si="28"/>
        <v/>
      </c>
      <c r="V1010" s="24"/>
    </row>
    <row r="1011" spans="1:22" ht="38.25">
      <c r="A1011" s="10" t="s">
        <v>815</v>
      </c>
      <c r="B1011" s="11" t="str">
        <f>IFERROR(VLOOKUP(A1011,Systems!A:B,2,FALSE),"Various")</f>
        <v>Exhaust system</v>
      </c>
      <c r="C1011" s="11" t="s">
        <v>445</v>
      </c>
      <c r="D1011" s="11"/>
      <c r="E1011" s="11"/>
      <c r="F1011" s="24" t="s">
        <v>1064</v>
      </c>
      <c r="G1011" s="38"/>
      <c r="H1011" s="11"/>
      <c r="I1011" s="11"/>
      <c r="J1011" s="11"/>
      <c r="K1011" s="11"/>
      <c r="L1011" s="11"/>
      <c r="M1011" s="11" t="s">
        <v>911</v>
      </c>
      <c r="N1011" s="11"/>
      <c r="O1011" s="11"/>
      <c r="P1011" s="11"/>
      <c r="Q1011" s="11"/>
      <c r="R1011" s="11"/>
      <c r="S1011" s="24" t="s">
        <v>30</v>
      </c>
      <c r="T1011" s="24"/>
      <c r="U1011" s="24" t="str">
        <f t="shared" si="28"/>
        <v/>
      </c>
      <c r="V1011" s="24"/>
    </row>
    <row r="1012" spans="1:22" ht="204">
      <c r="A1012" s="10" t="s">
        <v>815</v>
      </c>
      <c r="B1012" s="11" t="str">
        <f>IFERROR(VLOOKUP(A1012,Systems!A:B,2,FALSE),"Various")</f>
        <v>Exhaust system</v>
      </c>
      <c r="C1012" s="11" t="s">
        <v>449</v>
      </c>
      <c r="D1012" s="11"/>
      <c r="E1012" s="11"/>
      <c r="F1012" s="24" t="s">
        <v>1064</v>
      </c>
      <c r="G1012" s="38"/>
      <c r="H1012" s="11"/>
      <c r="I1012" s="11"/>
      <c r="J1012" s="11"/>
      <c r="K1012" s="11"/>
      <c r="L1012" s="11"/>
      <c r="M1012" s="11" t="s">
        <v>910</v>
      </c>
      <c r="N1012" s="11"/>
      <c r="O1012" s="11"/>
      <c r="P1012" s="11"/>
      <c r="Q1012" s="11"/>
      <c r="R1012" s="11"/>
      <c r="S1012" s="24" t="s">
        <v>30</v>
      </c>
      <c r="T1012" s="24"/>
      <c r="U1012" s="24" t="str">
        <f t="shared" si="28"/>
        <v/>
      </c>
      <c r="V1012" s="24"/>
    </row>
    <row r="1013" spans="1:22" ht="51">
      <c r="A1013" s="10" t="s">
        <v>815</v>
      </c>
      <c r="B1013" s="11" t="str">
        <f>IFERROR(VLOOKUP(A1013,Systems!A:B,2,FALSE),"Various")</f>
        <v>Exhaust system</v>
      </c>
      <c r="C1013" s="11" t="s">
        <v>448</v>
      </c>
      <c r="D1013" s="11"/>
      <c r="E1013" s="11"/>
      <c r="F1013" s="24" t="s">
        <v>1064</v>
      </c>
      <c r="G1013" s="38"/>
      <c r="H1013" s="11"/>
      <c r="I1013" s="11"/>
      <c r="J1013" s="11"/>
      <c r="K1013" s="11"/>
      <c r="L1013" s="11"/>
      <c r="M1013" s="11" t="s">
        <v>442</v>
      </c>
      <c r="N1013" s="11"/>
      <c r="O1013" s="11"/>
      <c r="P1013" s="11"/>
      <c r="Q1013" s="11"/>
      <c r="R1013" s="11"/>
      <c r="S1013" s="24" t="s">
        <v>30</v>
      </c>
      <c r="T1013" s="24"/>
      <c r="U1013" s="24" t="str">
        <f t="shared" si="28"/>
        <v/>
      </c>
      <c r="V1013" s="24"/>
    </row>
    <row r="1014" spans="1:22" ht="63.75">
      <c r="A1014" s="10" t="s">
        <v>815</v>
      </c>
      <c r="B1014" s="11" t="str">
        <f>IFERROR(VLOOKUP(A1014,Systems!A:B,2,FALSE),"Various")</f>
        <v>Exhaust system</v>
      </c>
      <c r="C1014" s="11" t="s">
        <v>446</v>
      </c>
      <c r="D1014" s="11"/>
      <c r="E1014" s="11"/>
      <c r="F1014" s="24" t="s">
        <v>1064</v>
      </c>
      <c r="G1014" s="38"/>
      <c r="H1014" s="11"/>
      <c r="I1014" s="11"/>
      <c r="J1014" s="11"/>
      <c r="K1014" s="11"/>
      <c r="L1014" s="11"/>
      <c r="M1014" s="11" t="s">
        <v>441</v>
      </c>
      <c r="N1014" s="11"/>
      <c r="O1014" s="11"/>
      <c r="P1014" s="11"/>
      <c r="Q1014" s="11"/>
      <c r="R1014" s="11"/>
      <c r="S1014" s="24" t="s">
        <v>30</v>
      </c>
      <c r="T1014" s="24"/>
      <c r="U1014" s="24"/>
      <c r="V1014" s="24"/>
    </row>
    <row r="1015" spans="1:22" ht="38.25">
      <c r="A1015" s="10" t="s">
        <v>815</v>
      </c>
      <c r="B1015" s="11" t="str">
        <f>IFERROR(VLOOKUP(A1015,Systems!A:B,2,FALSE),"Various")</f>
        <v>Exhaust system</v>
      </c>
      <c r="C1015" s="11" t="s">
        <v>90</v>
      </c>
      <c r="D1015" s="11"/>
      <c r="E1015" s="11"/>
      <c r="F1015" s="24" t="s">
        <v>1064</v>
      </c>
      <c r="G1015" s="38"/>
      <c r="H1015" s="11"/>
      <c r="I1015" s="11"/>
      <c r="J1015" s="11"/>
      <c r="K1015" s="11"/>
      <c r="L1015" s="11"/>
      <c r="M1015" s="11" t="s">
        <v>451</v>
      </c>
      <c r="N1015" s="11"/>
      <c r="O1015" s="11"/>
      <c r="P1015" s="11"/>
      <c r="Q1015" s="11"/>
      <c r="R1015" s="11"/>
      <c r="S1015" s="24" t="s">
        <v>30</v>
      </c>
      <c r="T1015" s="24"/>
      <c r="U1015" s="24"/>
      <c r="V1015" s="24"/>
    </row>
    <row r="1016" spans="1:22" ht="51">
      <c r="A1016" s="10" t="s">
        <v>166</v>
      </c>
      <c r="B1016" s="11" t="str">
        <f>IFERROR(VLOOKUP(A1016,Systems!A:B,2,FALSE),"Various")</f>
        <v>Cables</v>
      </c>
      <c r="C1016" s="11" t="s">
        <v>165</v>
      </c>
      <c r="D1016" s="11"/>
      <c r="E1016" s="11"/>
      <c r="F1016" s="24" t="s">
        <v>1064</v>
      </c>
      <c r="G1016" s="38"/>
      <c r="H1016" s="11"/>
      <c r="I1016" s="11"/>
      <c r="J1016" s="11"/>
      <c r="K1016" s="11"/>
      <c r="L1016" s="11"/>
      <c r="M1016" s="11" t="s">
        <v>606</v>
      </c>
      <c r="N1016" s="11"/>
      <c r="O1016" s="11"/>
      <c r="P1016" s="11"/>
      <c r="Q1016" s="11"/>
      <c r="R1016" s="11"/>
      <c r="S1016" s="24" t="s">
        <v>30</v>
      </c>
      <c r="T1016" s="24"/>
      <c r="U1016" s="24"/>
      <c r="V1016" s="24"/>
    </row>
    <row r="1017" spans="1:22" ht="382.5">
      <c r="A1017" s="10" t="s">
        <v>169</v>
      </c>
      <c r="B1017" s="11" t="str">
        <f>IFERROR(VLOOKUP(A1017,Systems!A:B,2,FALSE),"Various")</f>
        <v>Alarm / monitoring / control system</v>
      </c>
      <c r="C1017" s="11" t="s">
        <v>602</v>
      </c>
      <c r="D1017" s="11"/>
      <c r="E1017" s="11"/>
      <c r="F1017" s="24" t="s">
        <v>1064</v>
      </c>
      <c r="G1017" s="38"/>
      <c r="H1017" s="11"/>
      <c r="I1017" s="11"/>
      <c r="J1017" s="11"/>
      <c r="K1017" s="11"/>
      <c r="L1017" s="11"/>
      <c r="M1017" s="11" t="s">
        <v>605</v>
      </c>
      <c r="N1017" s="11"/>
      <c r="O1017" s="11"/>
      <c r="P1017" s="11"/>
      <c r="Q1017" s="11"/>
      <c r="R1017" s="11"/>
      <c r="S1017" s="24" t="s">
        <v>30</v>
      </c>
      <c r="T1017" s="24"/>
      <c r="U1017" s="24"/>
      <c r="V1017" s="24"/>
    </row>
    <row r="1018" spans="1:22">
      <c r="A1018" s="10" t="s">
        <v>149</v>
      </c>
      <c r="B1018" s="11" t="str">
        <f>IFERROR(VLOOKUP(A1018,Systems!A:B,2,FALSE),"Various")</f>
        <v>Lighting</v>
      </c>
      <c r="C1018" s="11" t="s">
        <v>147</v>
      </c>
      <c r="D1018" s="11"/>
      <c r="E1018" s="11"/>
      <c r="F1018" s="24" t="s">
        <v>1064</v>
      </c>
      <c r="G1018" s="38"/>
      <c r="H1018" s="11"/>
      <c r="I1018" s="11"/>
      <c r="J1018" s="11"/>
      <c r="K1018" s="11"/>
      <c r="L1018" s="11"/>
      <c r="M1018" s="11" t="s">
        <v>607</v>
      </c>
      <c r="N1018" s="11"/>
      <c r="O1018" s="11"/>
      <c r="P1018" s="11"/>
      <c r="Q1018" s="11"/>
      <c r="R1018" s="11"/>
      <c r="S1018" s="24"/>
      <c r="T1018" s="11"/>
      <c r="U1018" s="11"/>
      <c r="V1018" s="11"/>
    </row>
    <row r="1019" spans="1:22" ht="76.5">
      <c r="A1019" s="10" t="s">
        <v>455</v>
      </c>
      <c r="B1019" s="11" t="str">
        <f>IFERROR(VLOOKUP(A1019,Systems!A:B,2,FALSE),"Various")</f>
        <v>Hydraulic system</v>
      </c>
      <c r="C1019" s="11" t="s">
        <v>467</v>
      </c>
      <c r="D1019" s="11"/>
      <c r="E1019" s="11"/>
      <c r="F1019" s="24" t="s">
        <v>1064</v>
      </c>
      <c r="G1019" s="38"/>
      <c r="H1019" s="11"/>
      <c r="I1019" s="11"/>
      <c r="J1019" s="11"/>
      <c r="K1019" s="11"/>
      <c r="L1019" s="11"/>
      <c r="M1019" s="11" t="s">
        <v>466</v>
      </c>
      <c r="N1019" s="11"/>
      <c r="O1019" s="11"/>
      <c r="P1019" s="11"/>
      <c r="Q1019" s="11"/>
      <c r="R1019" s="11"/>
      <c r="S1019" s="24" t="s">
        <v>30</v>
      </c>
      <c r="T1019" s="24"/>
      <c r="U1019" s="24"/>
      <c r="V1019" s="24"/>
    </row>
    <row r="1020" spans="1:22" ht="38.25">
      <c r="A1020" s="10" t="s">
        <v>455</v>
      </c>
      <c r="B1020" s="11" t="str">
        <f>IFERROR(VLOOKUP(A1020,Systems!A:B,2,FALSE),"Various")</f>
        <v>Hydraulic system</v>
      </c>
      <c r="C1020" s="11" t="s">
        <v>460</v>
      </c>
      <c r="D1020" s="11"/>
      <c r="E1020" s="11"/>
      <c r="F1020" s="24" t="s">
        <v>1064</v>
      </c>
      <c r="G1020" s="38"/>
      <c r="H1020" s="11"/>
      <c r="I1020" s="11"/>
      <c r="J1020" s="11"/>
      <c r="K1020" s="11"/>
      <c r="L1020" s="11"/>
      <c r="M1020" s="11" t="s">
        <v>461</v>
      </c>
      <c r="N1020" s="11"/>
      <c r="O1020" s="11"/>
      <c r="P1020" s="11"/>
      <c r="Q1020" s="11"/>
      <c r="R1020" s="11"/>
      <c r="S1020" s="24" t="s">
        <v>30</v>
      </c>
      <c r="T1020" s="24"/>
      <c r="U1020" s="24"/>
      <c r="V1020" s="24"/>
    </row>
    <row r="1021" spans="1:22" ht="51">
      <c r="A1021" s="10" t="s">
        <v>455</v>
      </c>
      <c r="B1021" s="11" t="str">
        <f>IFERROR(VLOOKUP(A1021,Systems!A:B,2,FALSE),"Various")</f>
        <v>Hydraulic system</v>
      </c>
      <c r="C1021" s="11" t="s">
        <v>473</v>
      </c>
      <c r="D1021" s="11"/>
      <c r="E1021" s="11"/>
      <c r="F1021" s="24" t="s">
        <v>1064</v>
      </c>
      <c r="G1021" s="38"/>
      <c r="H1021" s="11"/>
      <c r="I1021" s="11"/>
      <c r="J1021" s="11"/>
      <c r="K1021" s="11"/>
      <c r="L1021" s="11"/>
      <c r="M1021" s="11" t="s">
        <v>470</v>
      </c>
      <c r="N1021" s="11"/>
      <c r="O1021" s="11"/>
      <c r="P1021" s="11"/>
      <c r="Q1021" s="11"/>
      <c r="R1021" s="11"/>
      <c r="S1021" s="24" t="s">
        <v>30</v>
      </c>
      <c r="T1021" s="24"/>
      <c r="U1021" s="24"/>
      <c r="V1021" s="24"/>
    </row>
    <row r="1022" spans="1:22" ht="76.5">
      <c r="A1022" s="10" t="s">
        <v>455</v>
      </c>
      <c r="B1022" s="11" t="str">
        <f>IFERROR(VLOOKUP(A1022,Systems!A:B,2,FALSE),"Various")</f>
        <v>Hydraulic system</v>
      </c>
      <c r="C1022" s="11" t="s">
        <v>475</v>
      </c>
      <c r="D1022" s="11"/>
      <c r="E1022" s="11"/>
      <c r="F1022" s="24" t="s">
        <v>1064</v>
      </c>
      <c r="G1022" s="38"/>
      <c r="H1022" s="11"/>
      <c r="I1022" s="11"/>
      <c r="J1022" s="11"/>
      <c r="K1022" s="11"/>
      <c r="L1022" s="11"/>
      <c r="M1022" s="11" t="s">
        <v>474</v>
      </c>
      <c r="N1022" s="11"/>
      <c r="O1022" s="11"/>
      <c r="P1022" s="11"/>
      <c r="Q1022" s="11"/>
      <c r="R1022" s="11"/>
      <c r="S1022" s="24" t="s">
        <v>30</v>
      </c>
      <c r="T1022" s="24"/>
      <c r="U1022" s="24"/>
      <c r="V1022" s="24"/>
    </row>
    <row r="1023" spans="1:22" ht="140.25">
      <c r="A1023" s="10" t="s">
        <v>455</v>
      </c>
      <c r="B1023" s="11" t="str">
        <f>IFERROR(VLOOKUP(A1023,Systems!A:B,2,FALSE),"Various")</f>
        <v>Hydraulic system</v>
      </c>
      <c r="C1023" s="11" t="s">
        <v>464</v>
      </c>
      <c r="D1023" s="11"/>
      <c r="E1023" s="11"/>
      <c r="F1023" s="24" t="s">
        <v>1064</v>
      </c>
      <c r="G1023" s="38"/>
      <c r="H1023" s="11"/>
      <c r="I1023" s="11"/>
      <c r="J1023" s="11"/>
      <c r="K1023" s="11"/>
      <c r="L1023" s="11"/>
      <c r="M1023" s="11" t="s">
        <v>465</v>
      </c>
      <c r="N1023" s="11"/>
      <c r="O1023" s="11"/>
      <c r="P1023" s="11"/>
      <c r="Q1023" s="11"/>
      <c r="R1023" s="11"/>
      <c r="S1023" s="24" t="s">
        <v>30</v>
      </c>
      <c r="T1023" s="24"/>
      <c r="U1023" s="24"/>
      <c r="V1023" s="24"/>
    </row>
    <row r="1024" spans="1:22" ht="153">
      <c r="A1024" s="10" t="s">
        <v>455</v>
      </c>
      <c r="B1024" s="11" t="str">
        <f>IFERROR(VLOOKUP(A1024,Systems!A:B,2,FALSE),"Various")</f>
        <v>Hydraulic system</v>
      </c>
      <c r="C1024" s="11" t="s">
        <v>476</v>
      </c>
      <c r="D1024" s="11"/>
      <c r="E1024" s="11"/>
      <c r="F1024" s="24" t="s">
        <v>1064</v>
      </c>
      <c r="G1024" s="38"/>
      <c r="H1024" s="11"/>
      <c r="I1024" s="11"/>
      <c r="J1024" s="11"/>
      <c r="K1024" s="11"/>
      <c r="L1024" s="11"/>
      <c r="M1024" s="11" t="s">
        <v>477</v>
      </c>
      <c r="N1024" s="11"/>
      <c r="O1024" s="11"/>
      <c r="P1024" s="11"/>
      <c r="Q1024" s="11"/>
      <c r="R1024" s="11"/>
      <c r="S1024" s="24" t="s">
        <v>30</v>
      </c>
      <c r="T1024" s="24"/>
      <c r="U1024" s="24"/>
      <c r="V1024" s="24"/>
    </row>
    <row r="1025" spans="1:22" ht="89.25">
      <c r="A1025" s="10" t="s">
        <v>455</v>
      </c>
      <c r="B1025" s="11" t="str">
        <f>IFERROR(VLOOKUP(A1025,Systems!A:B,2,FALSE),"Various")</f>
        <v>Hydraulic system</v>
      </c>
      <c r="C1025" s="11" t="s">
        <v>103</v>
      </c>
      <c r="D1025" s="11"/>
      <c r="E1025" s="11"/>
      <c r="F1025" s="24" t="s">
        <v>1064</v>
      </c>
      <c r="G1025" s="38"/>
      <c r="H1025" s="11"/>
      <c r="I1025" s="11"/>
      <c r="J1025" s="11"/>
      <c r="K1025" s="11"/>
      <c r="L1025" s="11"/>
      <c r="M1025" s="11" t="s">
        <v>463</v>
      </c>
      <c r="N1025" s="11"/>
      <c r="O1025" s="11"/>
      <c r="P1025" s="11"/>
      <c r="Q1025" s="11"/>
      <c r="R1025" s="11"/>
      <c r="S1025" s="24" t="s">
        <v>30</v>
      </c>
      <c r="T1025" s="24"/>
      <c r="U1025" s="24"/>
      <c r="V1025" s="24"/>
    </row>
    <row r="1026" spans="1:22" ht="38.25">
      <c r="A1026" s="10" t="s">
        <v>455</v>
      </c>
      <c r="B1026" s="11" t="str">
        <f>IFERROR(VLOOKUP(A1026,Systems!A:B,2,FALSE),"Various")</f>
        <v>Hydraulic system</v>
      </c>
      <c r="C1026" s="11" t="s">
        <v>471</v>
      </c>
      <c r="D1026" s="11"/>
      <c r="E1026" s="11"/>
      <c r="F1026" s="24" t="s">
        <v>1064</v>
      </c>
      <c r="G1026" s="38"/>
      <c r="H1026" s="11"/>
      <c r="I1026" s="11"/>
      <c r="J1026" s="11"/>
      <c r="K1026" s="11"/>
      <c r="L1026" s="11"/>
      <c r="M1026" s="11" t="s">
        <v>469</v>
      </c>
      <c r="N1026" s="11"/>
      <c r="O1026" s="11"/>
      <c r="P1026" s="11"/>
      <c r="Q1026" s="11"/>
      <c r="R1026" s="11"/>
      <c r="S1026" s="24" t="s">
        <v>30</v>
      </c>
      <c r="T1026" s="24"/>
      <c r="U1026" s="24"/>
      <c r="V1026" s="24"/>
    </row>
    <row r="1027" spans="1:22" ht="127.5">
      <c r="A1027" s="10" t="s">
        <v>455</v>
      </c>
      <c r="B1027" s="11" t="str">
        <f>IFERROR(VLOOKUP(A1027,Systems!A:B,2,FALSE),"Various")</f>
        <v>Hydraulic system</v>
      </c>
      <c r="C1027" s="11" t="s">
        <v>49</v>
      </c>
      <c r="D1027" s="11"/>
      <c r="E1027" s="11"/>
      <c r="F1027" s="24" t="s">
        <v>1064</v>
      </c>
      <c r="G1027" s="38"/>
      <c r="H1027" s="11"/>
      <c r="I1027" s="11"/>
      <c r="J1027" s="11"/>
      <c r="K1027" s="11"/>
      <c r="L1027" s="11"/>
      <c r="M1027" s="11" t="s">
        <v>454</v>
      </c>
      <c r="N1027" s="11"/>
      <c r="O1027" s="11"/>
      <c r="P1027" s="11"/>
      <c r="Q1027" s="11"/>
      <c r="R1027" s="11"/>
      <c r="S1027" s="24" t="s">
        <v>30</v>
      </c>
      <c r="T1027" s="24"/>
      <c r="U1027" s="24"/>
      <c r="V1027" s="24"/>
    </row>
    <row r="1028" spans="1:22" ht="280.5">
      <c r="A1028" s="10" t="s">
        <v>455</v>
      </c>
      <c r="B1028" s="11" t="str">
        <f>IFERROR(VLOOKUP(A1028,Systems!A:B,2,FALSE),"Various")</f>
        <v>Hydraulic system</v>
      </c>
      <c r="C1028" s="11" t="s">
        <v>49</v>
      </c>
      <c r="D1028" s="11"/>
      <c r="E1028" s="11"/>
      <c r="F1028" s="24" t="s">
        <v>1064</v>
      </c>
      <c r="G1028" s="38"/>
      <c r="H1028" s="11"/>
      <c r="I1028" s="11"/>
      <c r="J1028" s="11"/>
      <c r="K1028" s="11"/>
      <c r="L1028" s="11"/>
      <c r="M1028" s="11" t="s">
        <v>456</v>
      </c>
      <c r="N1028" s="11"/>
      <c r="O1028" s="11"/>
      <c r="P1028" s="11"/>
      <c r="Q1028" s="11"/>
      <c r="R1028" s="11"/>
      <c r="S1028" s="24" t="s">
        <v>30</v>
      </c>
      <c r="T1028" s="24"/>
      <c r="U1028" s="24"/>
      <c r="V1028" s="24"/>
    </row>
    <row r="1029" spans="1:22" ht="127.5">
      <c r="A1029" s="10" t="s">
        <v>455</v>
      </c>
      <c r="B1029" s="11" t="str">
        <f>IFERROR(VLOOKUP(A1029,Systems!A:B,2,FALSE),"Various")</f>
        <v>Hydraulic system</v>
      </c>
      <c r="C1029" s="11" t="s">
        <v>457</v>
      </c>
      <c r="D1029" s="11"/>
      <c r="E1029" s="11"/>
      <c r="F1029" s="24" t="s">
        <v>1064</v>
      </c>
      <c r="G1029" s="38"/>
      <c r="H1029" s="11"/>
      <c r="I1029" s="11"/>
      <c r="J1029" s="11"/>
      <c r="K1029" s="11"/>
      <c r="L1029" s="11"/>
      <c r="M1029" s="11" t="s">
        <v>459</v>
      </c>
      <c r="N1029" s="11"/>
      <c r="O1029" s="11"/>
      <c r="P1029" s="11"/>
      <c r="Q1029" s="11"/>
      <c r="R1029" s="11"/>
      <c r="S1029" s="24" t="s">
        <v>30</v>
      </c>
      <c r="T1029" s="24"/>
      <c r="U1029" s="24"/>
      <c r="V1029" s="24"/>
    </row>
    <row r="1030" spans="1:22" ht="63.75">
      <c r="A1030" s="10" t="s">
        <v>455</v>
      </c>
      <c r="B1030" s="11" t="str">
        <f>IFERROR(VLOOKUP(A1030,Systems!A:B,2,FALSE),"Various")</f>
        <v>Hydraulic system</v>
      </c>
      <c r="C1030" s="11" t="s">
        <v>472</v>
      </c>
      <c r="D1030" s="11"/>
      <c r="E1030" s="11"/>
      <c r="F1030" s="24" t="s">
        <v>1064</v>
      </c>
      <c r="G1030" s="38"/>
      <c r="H1030" s="11"/>
      <c r="I1030" s="11"/>
      <c r="J1030" s="11"/>
      <c r="K1030" s="11"/>
      <c r="L1030" s="11"/>
      <c r="M1030" s="11" t="s">
        <v>468</v>
      </c>
      <c r="N1030" s="11"/>
      <c r="O1030" s="11"/>
      <c r="P1030" s="11"/>
      <c r="Q1030" s="11"/>
      <c r="R1030" s="11"/>
      <c r="S1030" s="24" t="s">
        <v>30</v>
      </c>
      <c r="T1030" s="24"/>
      <c r="U1030" s="24"/>
      <c r="V1030" s="24"/>
    </row>
    <row r="1031" spans="1:22" ht="140.25">
      <c r="A1031" s="10" t="s">
        <v>455</v>
      </c>
      <c r="B1031" s="11" t="str">
        <f>IFERROR(VLOOKUP(A1031,Systems!A:B,2,FALSE),"Various")</f>
        <v>Hydraulic system</v>
      </c>
      <c r="C1031" s="11" t="s">
        <v>458</v>
      </c>
      <c r="D1031" s="11"/>
      <c r="E1031" s="11"/>
      <c r="F1031" s="24" t="s">
        <v>1064</v>
      </c>
      <c r="G1031" s="38"/>
      <c r="H1031" s="11"/>
      <c r="I1031" s="11"/>
      <c r="J1031" s="11"/>
      <c r="K1031" s="11"/>
      <c r="L1031" s="11"/>
      <c r="M1031" s="11" t="s">
        <v>462</v>
      </c>
      <c r="N1031" s="11"/>
      <c r="O1031" s="11"/>
      <c r="P1031" s="11"/>
      <c r="Q1031" s="11"/>
      <c r="R1031" s="11"/>
      <c r="S1031" s="24" t="s">
        <v>30</v>
      </c>
      <c r="T1031" s="24"/>
      <c r="U1031" s="24"/>
      <c r="V1031" s="24"/>
    </row>
    <row r="1032" spans="1:22" ht="153">
      <c r="A1032" s="10" t="s">
        <v>455</v>
      </c>
      <c r="B1032" s="11" t="str">
        <f>IFERROR(VLOOKUP(A1032,Systems!A:B,2,FALSE),"Various")</f>
        <v>Hydraulic system</v>
      </c>
      <c r="C1032" s="11" t="s">
        <v>132</v>
      </c>
      <c r="D1032" s="11"/>
      <c r="E1032" s="11"/>
      <c r="F1032" s="24" t="s">
        <v>1064</v>
      </c>
      <c r="G1032" s="38"/>
      <c r="H1032" s="11"/>
      <c r="I1032" s="11"/>
      <c r="J1032" s="11"/>
      <c r="K1032" s="11"/>
      <c r="L1032" s="11"/>
      <c r="M1032" s="11" t="s">
        <v>478</v>
      </c>
      <c r="N1032" s="11"/>
      <c r="O1032" s="11"/>
      <c r="P1032" s="11"/>
      <c r="Q1032" s="11"/>
      <c r="R1032" s="11"/>
      <c r="S1032" s="24" t="s">
        <v>30</v>
      </c>
      <c r="T1032" s="24"/>
      <c r="U1032" s="24"/>
      <c r="V1032" s="24"/>
    </row>
    <row r="1033" spans="1:22" ht="18">
      <c r="A1033" s="37" t="str">
        <f>Titles!B2</f>
        <v>622</v>
      </c>
      <c r="B1033" s="30" t="str">
        <f>Titles!C2</f>
        <v>Working / control air system</v>
      </c>
      <c r="C1033" s="31"/>
      <c r="D1033" s="31"/>
      <c r="E1033" s="31"/>
      <c r="F1033" s="32" t="s">
        <v>1064</v>
      </c>
      <c r="G1033" s="40"/>
      <c r="H1033" s="31"/>
      <c r="I1033" s="31"/>
      <c r="J1033" s="31"/>
      <c r="K1033" s="33"/>
      <c r="L1033" s="33"/>
      <c r="M1033" s="33"/>
      <c r="N1033" s="33"/>
      <c r="O1033" s="33"/>
      <c r="P1033" s="33"/>
      <c r="Q1033" s="33"/>
      <c r="R1033" s="33"/>
      <c r="S1033" s="24" t="s">
        <v>30</v>
      </c>
      <c r="T1033" s="24"/>
      <c r="U1033" s="24"/>
      <c r="V1033" s="24"/>
    </row>
    <row r="1034" spans="1:22" ht="25.5">
      <c r="A1034" s="10" t="s">
        <v>797</v>
      </c>
      <c r="B1034" s="11" t="str">
        <f>IFERROR(VLOOKUP(A1034,Systems!A:B,2,FALSE),"Various")</f>
        <v>Working / control air system</v>
      </c>
      <c r="C1034" s="11" t="s">
        <v>98</v>
      </c>
      <c r="D1034" s="11"/>
      <c r="E1034" s="11"/>
      <c r="F1034" s="24" t="s">
        <v>1064</v>
      </c>
      <c r="G1034" s="38"/>
      <c r="H1034" s="11"/>
      <c r="I1034" s="11"/>
      <c r="J1034" s="11"/>
      <c r="K1034" s="11"/>
      <c r="L1034" s="11"/>
      <c r="M1034" s="11" t="s">
        <v>479</v>
      </c>
      <c r="N1034" s="11"/>
      <c r="O1034" s="11"/>
      <c r="P1034" s="11"/>
      <c r="Q1034" s="11"/>
      <c r="R1034" s="11"/>
      <c r="S1034" s="24" t="s">
        <v>30</v>
      </c>
      <c r="T1034" s="24"/>
      <c r="U1034" s="24"/>
      <c r="V1034" s="24"/>
    </row>
    <row r="1035" spans="1:22" ht="63.75">
      <c r="A1035" s="10" t="s">
        <v>797</v>
      </c>
      <c r="B1035" s="11" t="str">
        <f>IFERROR(VLOOKUP(A1035,Systems!A:B,2,FALSE),"Various")</f>
        <v>Working / control air system</v>
      </c>
      <c r="C1035" s="11" t="s">
        <v>480</v>
      </c>
      <c r="D1035" s="11"/>
      <c r="E1035" s="11"/>
      <c r="F1035" s="24" t="s">
        <v>1064</v>
      </c>
      <c r="G1035" s="38"/>
      <c r="H1035" s="11"/>
      <c r="I1035" s="11"/>
      <c r="J1035" s="11"/>
      <c r="K1035" s="11"/>
      <c r="L1035" s="11"/>
      <c r="M1035" s="11" t="s">
        <v>481</v>
      </c>
      <c r="N1035" s="11"/>
      <c r="O1035" s="11"/>
      <c r="P1035" s="11"/>
      <c r="Q1035" s="11"/>
      <c r="R1035" s="11"/>
      <c r="S1035" s="24" t="s">
        <v>30</v>
      </c>
      <c r="T1035" s="24"/>
      <c r="U1035" s="24"/>
      <c r="V1035" s="24"/>
    </row>
    <row r="1036" spans="1:22" ht="51">
      <c r="A1036" s="10" t="s">
        <v>797</v>
      </c>
      <c r="B1036" s="11" t="str">
        <f>IFERROR(VLOOKUP(A1036,Systems!A:B,2,FALSE),"Various")</f>
        <v>Working / control air system</v>
      </c>
      <c r="C1036" s="11" t="s">
        <v>447</v>
      </c>
      <c r="D1036" s="11"/>
      <c r="E1036" s="11"/>
      <c r="F1036" s="24" t="s">
        <v>1064</v>
      </c>
      <c r="G1036" s="38"/>
      <c r="H1036" s="11"/>
      <c r="I1036" s="11"/>
      <c r="J1036" s="11"/>
      <c r="K1036" s="11"/>
      <c r="L1036" s="11"/>
      <c r="M1036" s="11" t="s">
        <v>482</v>
      </c>
      <c r="N1036" s="11"/>
      <c r="O1036" s="11"/>
      <c r="P1036" s="11"/>
      <c r="Q1036" s="11"/>
      <c r="R1036" s="11"/>
      <c r="S1036" s="24" t="s">
        <v>30</v>
      </c>
      <c r="T1036" s="24"/>
      <c r="U1036" s="24"/>
      <c r="V1036" s="24"/>
    </row>
    <row r="1037" spans="1:22" ht="204">
      <c r="A1037" s="10" t="s">
        <v>797</v>
      </c>
      <c r="B1037" s="11" t="str">
        <f>IFERROR(VLOOKUP(A1037,Systems!A:B,2,FALSE),"Various")</f>
        <v>Working / control air system</v>
      </c>
      <c r="C1037" s="11" t="s">
        <v>484</v>
      </c>
      <c r="D1037" s="11"/>
      <c r="E1037" s="11"/>
      <c r="F1037" s="24" t="s">
        <v>1064</v>
      </c>
      <c r="G1037" s="38"/>
      <c r="H1037" s="11"/>
      <c r="I1037" s="11"/>
      <c r="J1037" s="11"/>
      <c r="K1037" s="11"/>
      <c r="L1037" s="11"/>
      <c r="M1037" s="11" t="s">
        <v>483</v>
      </c>
      <c r="N1037" s="11"/>
      <c r="O1037" s="11"/>
      <c r="P1037" s="11"/>
      <c r="Q1037" s="11"/>
      <c r="R1037" s="11"/>
      <c r="S1037" s="24" t="s">
        <v>30</v>
      </c>
      <c r="T1037" s="24"/>
      <c r="U1037" s="24"/>
      <c r="V1037" s="24"/>
    </row>
    <row r="1038" spans="1:22" ht="38.25">
      <c r="A1038" s="10" t="s">
        <v>797</v>
      </c>
      <c r="B1038" s="11" t="str">
        <f>IFERROR(VLOOKUP(A1038,Systems!A:B,2,FALSE),"Various")</f>
        <v>Working / control air system</v>
      </c>
      <c r="C1038" s="11" t="s">
        <v>796</v>
      </c>
      <c r="D1038" s="11"/>
      <c r="E1038" s="11"/>
      <c r="F1038" s="24" t="s">
        <v>1064</v>
      </c>
      <c r="G1038" s="38"/>
      <c r="H1038" s="11"/>
      <c r="I1038" s="11"/>
      <c r="J1038" s="11"/>
      <c r="K1038" s="11"/>
      <c r="L1038" s="11"/>
      <c r="M1038" s="11"/>
      <c r="N1038" s="11"/>
      <c r="O1038" s="11" t="s">
        <v>791</v>
      </c>
      <c r="P1038" s="11"/>
      <c r="Q1038" s="11"/>
      <c r="R1038" s="11"/>
      <c r="S1038" s="24" t="s">
        <v>30</v>
      </c>
      <c r="T1038" s="24"/>
      <c r="U1038" s="24"/>
      <c r="V1038" s="24"/>
    </row>
    <row r="1039" spans="1:22" ht="38.25">
      <c r="A1039" s="10" t="s">
        <v>797</v>
      </c>
      <c r="B1039" s="11" t="str">
        <f>IFERROR(VLOOKUP(A1039,Systems!A:B,2,FALSE),"Various")</f>
        <v>Working / control air system</v>
      </c>
      <c r="C1039" s="11" t="s">
        <v>798</v>
      </c>
      <c r="D1039" s="11"/>
      <c r="E1039" s="11"/>
      <c r="F1039" s="24" t="s">
        <v>1064</v>
      </c>
      <c r="G1039" s="38"/>
      <c r="H1039" s="11"/>
      <c r="I1039" s="11"/>
      <c r="J1039" s="11"/>
      <c r="K1039" s="11"/>
      <c r="L1039" s="11"/>
      <c r="M1039" s="11"/>
      <c r="N1039" s="11"/>
      <c r="O1039" s="11" t="s">
        <v>792</v>
      </c>
      <c r="P1039" s="11"/>
      <c r="Q1039" s="11"/>
      <c r="R1039" s="11"/>
      <c r="S1039" s="24" t="s">
        <v>30</v>
      </c>
      <c r="T1039" s="24"/>
      <c r="U1039" s="24"/>
      <c r="V1039" s="24"/>
    </row>
    <row r="1040" spans="1:22" ht="25.5">
      <c r="A1040" s="10" t="s">
        <v>797</v>
      </c>
      <c r="B1040" s="11" t="str">
        <f>IFERROR(VLOOKUP(A1040,Systems!A:B,2,FALSE),"Various")</f>
        <v>Working / control air system</v>
      </c>
      <c r="C1040" s="11" t="s">
        <v>800</v>
      </c>
      <c r="D1040" s="11"/>
      <c r="E1040" s="11"/>
      <c r="F1040" s="24" t="s">
        <v>1064</v>
      </c>
      <c r="G1040" s="38"/>
      <c r="H1040" s="11"/>
      <c r="I1040" s="11"/>
      <c r="J1040" s="11"/>
      <c r="K1040" s="11"/>
      <c r="L1040" s="11"/>
      <c r="M1040" s="11"/>
      <c r="N1040" s="11"/>
      <c r="O1040" s="11" t="s">
        <v>794</v>
      </c>
      <c r="P1040" s="11"/>
      <c r="Q1040" s="11"/>
      <c r="R1040" s="11"/>
      <c r="S1040" s="24" t="s">
        <v>30</v>
      </c>
      <c r="T1040" s="24"/>
      <c r="U1040" s="24"/>
      <c r="V1040" s="24"/>
    </row>
    <row r="1041" spans="1:22" ht="51">
      <c r="A1041" s="10" t="s">
        <v>610</v>
      </c>
      <c r="B1041" s="11" t="str">
        <f>IFERROR(VLOOKUP(A1041,Systems!A:B,2,FALSE),"Various")</f>
        <v>Various</v>
      </c>
      <c r="C1041" s="11" t="s">
        <v>609</v>
      </c>
      <c r="D1041" s="11"/>
      <c r="E1041" s="11"/>
      <c r="F1041" s="24" t="s">
        <v>1064</v>
      </c>
      <c r="G1041" s="38"/>
      <c r="H1041" s="11"/>
      <c r="I1041" s="11"/>
      <c r="J1041" s="11"/>
      <c r="K1041" s="11"/>
      <c r="L1041" s="11"/>
      <c r="M1041" s="11" t="s">
        <v>608</v>
      </c>
      <c r="N1041" s="11"/>
      <c r="O1041" s="11"/>
      <c r="P1041" s="11"/>
      <c r="Q1041" s="11"/>
      <c r="R1041" s="11"/>
      <c r="S1041" s="24" t="s">
        <v>30</v>
      </c>
      <c r="T1041" s="24"/>
      <c r="U1041" s="24"/>
      <c r="V1041" s="24"/>
    </row>
    <row r="1042" spans="1:22" ht="38.25">
      <c r="A1042" s="10" t="s">
        <v>286</v>
      </c>
      <c r="B1042" s="11" t="str">
        <f>IFERROR(VLOOKUP(A1042,Systems!A:B,2,FALSE),"Various")</f>
        <v>All air systems</v>
      </c>
      <c r="C1042" s="11" t="s">
        <v>471</v>
      </c>
      <c r="D1042" s="11"/>
      <c r="E1042" s="11"/>
      <c r="F1042" s="24" t="s">
        <v>1064</v>
      </c>
      <c r="G1042" s="38"/>
      <c r="H1042" s="11"/>
      <c r="I1042" s="11"/>
      <c r="J1042" s="11"/>
      <c r="K1042" s="11"/>
      <c r="L1042" s="11"/>
      <c r="M1042" s="11" t="s">
        <v>611</v>
      </c>
      <c r="N1042" s="11"/>
      <c r="O1042" s="11"/>
      <c r="P1042" s="11" t="s">
        <v>284</v>
      </c>
      <c r="Q1042" s="11"/>
      <c r="R1042" s="11"/>
      <c r="S1042" s="24" t="s">
        <v>30</v>
      </c>
      <c r="T1042" s="24"/>
      <c r="U1042" s="24"/>
      <c r="V1042" s="24"/>
    </row>
    <row r="1043" spans="1:22" ht="51">
      <c r="A1043" s="10" t="s">
        <v>286</v>
      </c>
      <c r="B1043" s="11" t="str">
        <f>IFERROR(VLOOKUP(A1043,Systems!A:B,2,FALSE),"Various")</f>
        <v>All air systems</v>
      </c>
      <c r="C1043" s="11" t="s">
        <v>810</v>
      </c>
      <c r="D1043" s="11"/>
      <c r="E1043" s="11"/>
      <c r="F1043" s="24" t="s">
        <v>1064</v>
      </c>
      <c r="G1043" s="38"/>
      <c r="H1043" s="11"/>
      <c r="I1043" s="11"/>
      <c r="J1043" s="11"/>
      <c r="K1043" s="11"/>
      <c r="L1043" s="11"/>
      <c r="M1043" s="11" t="s">
        <v>808</v>
      </c>
      <c r="N1043" s="11"/>
      <c r="O1043" s="11"/>
      <c r="P1043" s="11"/>
      <c r="Q1043" s="11"/>
      <c r="R1043" s="11"/>
      <c r="S1043" s="24" t="s">
        <v>30</v>
      </c>
      <c r="T1043" s="24"/>
      <c r="U1043" s="24"/>
      <c r="V1043" s="24"/>
    </row>
    <row r="1044" spans="1:22" ht="76.5">
      <c r="A1044" s="10" t="s">
        <v>286</v>
      </c>
      <c r="B1044" s="11" t="str">
        <f>IFERROR(VLOOKUP(A1044,Systems!A:B,2,FALSE),"Various")</f>
        <v>All air systems</v>
      </c>
      <c r="C1044" s="11" t="s">
        <v>809</v>
      </c>
      <c r="D1044" s="11"/>
      <c r="E1044" s="11"/>
      <c r="F1044" s="24" t="s">
        <v>1064</v>
      </c>
      <c r="G1044" s="38"/>
      <c r="H1044" s="11"/>
      <c r="I1044" s="11"/>
      <c r="J1044" s="11"/>
      <c r="K1044" s="11"/>
      <c r="L1044" s="11"/>
      <c r="M1044" s="11" t="s">
        <v>612</v>
      </c>
      <c r="N1044" s="11"/>
      <c r="O1044" s="11"/>
      <c r="P1044" s="11"/>
      <c r="Q1044" s="11"/>
      <c r="R1044" s="11"/>
      <c r="S1044" s="24" t="s">
        <v>30</v>
      </c>
      <c r="T1044" s="24"/>
      <c r="U1044" s="24"/>
      <c r="V1044" s="24"/>
    </row>
    <row r="1045" spans="1:22" ht="51">
      <c r="A1045" s="10" t="s">
        <v>286</v>
      </c>
      <c r="B1045" s="11" t="str">
        <f>IFERROR(VLOOKUP(A1045,Systems!A:B,2,FALSE),"Various")</f>
        <v>All air systems</v>
      </c>
      <c r="C1045" s="11" t="s">
        <v>49</v>
      </c>
      <c r="D1045" s="11"/>
      <c r="E1045" s="11"/>
      <c r="F1045" s="24" t="s">
        <v>1064</v>
      </c>
      <c r="G1045" s="38"/>
      <c r="H1045" s="11"/>
      <c r="I1045" s="11"/>
      <c r="J1045" s="11"/>
      <c r="K1045" s="11"/>
      <c r="L1045" s="11"/>
      <c r="M1045" s="11" t="s">
        <v>918</v>
      </c>
      <c r="N1045" s="11"/>
      <c r="O1045" s="11"/>
      <c r="P1045" s="11"/>
      <c r="Q1045" s="11"/>
      <c r="R1045" s="11"/>
      <c r="S1045" s="24" t="s">
        <v>30</v>
      </c>
      <c r="T1045" s="24"/>
      <c r="U1045" s="24"/>
      <c r="V1045" s="24"/>
    </row>
    <row r="1046" spans="1:22" ht="38.25">
      <c r="A1046" s="10" t="s">
        <v>286</v>
      </c>
      <c r="B1046" s="11" t="str">
        <f>IFERROR(VLOOKUP(A1046,Systems!A:B,2,FALSE),"Various")</f>
        <v>All air systems</v>
      </c>
      <c r="C1046" s="11" t="s">
        <v>774</v>
      </c>
      <c r="D1046" s="11"/>
      <c r="E1046" s="11"/>
      <c r="F1046" s="24" t="s">
        <v>1064</v>
      </c>
      <c r="G1046" s="38"/>
      <c r="H1046" s="11"/>
      <c r="I1046" s="11"/>
      <c r="J1046" s="11"/>
      <c r="K1046" s="11"/>
      <c r="L1046" s="11"/>
      <c r="M1046" s="11"/>
      <c r="N1046" s="11"/>
      <c r="O1046" s="11" t="s">
        <v>807</v>
      </c>
      <c r="P1046" s="11"/>
      <c r="Q1046" s="11"/>
      <c r="R1046" s="11"/>
      <c r="S1046" s="24" t="s">
        <v>30</v>
      </c>
      <c r="T1046" s="24"/>
      <c r="U1046" s="24"/>
      <c r="V1046" s="24"/>
    </row>
    <row r="1047" spans="1:22" ht="38.25">
      <c r="A1047" s="10" t="s">
        <v>286</v>
      </c>
      <c r="B1047" s="11" t="str">
        <f>IFERROR(VLOOKUP(A1047,Systems!A:B,2,FALSE),"Various")</f>
        <v>All air systems</v>
      </c>
      <c r="C1047" s="11" t="s">
        <v>795</v>
      </c>
      <c r="D1047" s="11"/>
      <c r="E1047" s="11"/>
      <c r="F1047" s="24" t="s">
        <v>1064</v>
      </c>
      <c r="G1047" s="38"/>
      <c r="H1047" s="11"/>
      <c r="I1047" s="11"/>
      <c r="J1047" s="11"/>
      <c r="K1047" s="11"/>
      <c r="L1047" s="11"/>
      <c r="M1047" s="11"/>
      <c r="N1047" s="11"/>
      <c r="O1047" s="11" t="s">
        <v>790</v>
      </c>
      <c r="P1047" s="11"/>
      <c r="Q1047" s="11"/>
      <c r="R1047" s="11"/>
      <c r="S1047" s="24" t="s">
        <v>30</v>
      </c>
      <c r="T1047" s="24"/>
      <c r="U1047" s="24"/>
      <c r="V1047" s="24"/>
    </row>
    <row r="1048" spans="1:22" ht="25.5">
      <c r="A1048" s="10" t="s">
        <v>286</v>
      </c>
      <c r="B1048" s="11" t="str">
        <f>IFERROR(VLOOKUP(A1048,Systems!A:B,2,FALSE),"Various")</f>
        <v>All air systems</v>
      </c>
      <c r="C1048" s="11" t="s">
        <v>799</v>
      </c>
      <c r="D1048" s="11"/>
      <c r="E1048" s="11"/>
      <c r="F1048" s="24" t="s">
        <v>1064</v>
      </c>
      <c r="G1048" s="38"/>
      <c r="H1048" s="11"/>
      <c r="I1048" s="11"/>
      <c r="J1048" s="11"/>
      <c r="K1048" s="11"/>
      <c r="L1048" s="11"/>
      <c r="M1048" s="11"/>
      <c r="N1048" s="11"/>
      <c r="O1048" s="11" t="s">
        <v>793</v>
      </c>
      <c r="P1048" s="11"/>
      <c r="Q1048" s="11"/>
      <c r="R1048" s="11"/>
      <c r="S1048" s="24" t="s">
        <v>30</v>
      </c>
      <c r="T1048" s="24"/>
      <c r="U1048" s="24"/>
      <c r="V1048" s="24"/>
    </row>
    <row r="1049" spans="1:22" ht="38.25">
      <c r="A1049" s="10" t="s">
        <v>286</v>
      </c>
      <c r="B1049" s="11" t="str">
        <f>IFERROR(VLOOKUP(A1049,Systems!A:B,2,FALSE),"Various")</f>
        <v>All air systems</v>
      </c>
      <c r="C1049" s="11" t="s">
        <v>774</v>
      </c>
      <c r="D1049" s="11"/>
      <c r="E1049" s="11"/>
      <c r="F1049" s="24" t="s">
        <v>1064</v>
      </c>
      <c r="G1049" s="38"/>
      <c r="H1049" s="11"/>
      <c r="I1049" s="11"/>
      <c r="J1049" s="11"/>
      <c r="K1049" s="11"/>
      <c r="L1049" s="11"/>
      <c r="M1049" s="11"/>
      <c r="N1049" s="11"/>
      <c r="O1049" s="11" t="s">
        <v>801</v>
      </c>
      <c r="P1049" s="11"/>
      <c r="Q1049" s="11"/>
      <c r="R1049" s="11"/>
      <c r="S1049" s="24" t="s">
        <v>30</v>
      </c>
      <c r="T1049" s="24"/>
      <c r="U1049" s="24"/>
      <c r="V1049" s="24"/>
    </row>
    <row r="1050" spans="1:22" ht="25.5">
      <c r="A1050" s="10" t="s">
        <v>286</v>
      </c>
      <c r="B1050" s="11" t="str">
        <f>IFERROR(VLOOKUP(A1050,Systems!A:B,2,FALSE),"Various")</f>
        <v>All air systems</v>
      </c>
      <c r="C1050" s="11" t="s">
        <v>774</v>
      </c>
      <c r="D1050" s="11"/>
      <c r="E1050" s="11"/>
      <c r="F1050" s="24" t="s">
        <v>1064</v>
      </c>
      <c r="G1050" s="38"/>
      <c r="H1050" s="11"/>
      <c r="I1050" s="11"/>
      <c r="J1050" s="11"/>
      <c r="K1050" s="11"/>
      <c r="L1050" s="11"/>
      <c r="M1050" s="11"/>
      <c r="N1050" s="11"/>
      <c r="O1050" s="11" t="s">
        <v>802</v>
      </c>
      <c r="P1050" s="11"/>
      <c r="Q1050" s="11"/>
      <c r="R1050" s="11"/>
      <c r="S1050" s="24" t="s">
        <v>30</v>
      </c>
      <c r="T1050" s="24"/>
      <c r="U1050" s="24"/>
      <c r="V1050" s="24"/>
    </row>
    <row r="1051" spans="1:22" ht="38.25">
      <c r="A1051" s="10" t="s">
        <v>286</v>
      </c>
      <c r="B1051" s="11" t="str">
        <f>IFERROR(VLOOKUP(A1051,Systems!A:B,2,FALSE),"Various")</f>
        <v>All air systems</v>
      </c>
      <c r="C1051" s="11" t="s">
        <v>774</v>
      </c>
      <c r="D1051" s="11"/>
      <c r="E1051" s="11"/>
      <c r="F1051" s="24" t="s">
        <v>1064</v>
      </c>
      <c r="G1051" s="38"/>
      <c r="H1051" s="11"/>
      <c r="I1051" s="11"/>
      <c r="J1051" s="11"/>
      <c r="K1051" s="11"/>
      <c r="L1051" s="11"/>
      <c r="M1051" s="11"/>
      <c r="N1051" s="11"/>
      <c r="O1051" s="11" t="s">
        <v>803</v>
      </c>
      <c r="P1051" s="11"/>
      <c r="Q1051" s="11"/>
      <c r="R1051" s="11"/>
      <c r="S1051" s="24" t="s">
        <v>30</v>
      </c>
      <c r="T1051" s="24"/>
      <c r="U1051" s="24"/>
      <c r="V1051" s="24"/>
    </row>
    <row r="1052" spans="1:22" ht="63.75">
      <c r="A1052" s="10" t="s">
        <v>286</v>
      </c>
      <c r="B1052" s="11" t="str">
        <f>IFERROR(VLOOKUP(A1052,Systems!A:B,2,FALSE),"Various")</f>
        <v>All air systems</v>
      </c>
      <c r="C1052" s="11" t="s">
        <v>774</v>
      </c>
      <c r="D1052" s="11"/>
      <c r="E1052" s="11"/>
      <c r="F1052" s="24" t="s">
        <v>1064</v>
      </c>
      <c r="G1052" s="38"/>
      <c r="H1052" s="11"/>
      <c r="I1052" s="11"/>
      <c r="J1052" s="11"/>
      <c r="K1052" s="11"/>
      <c r="L1052" s="11"/>
      <c r="M1052" s="11"/>
      <c r="N1052" s="11"/>
      <c r="O1052" s="11" t="s">
        <v>804</v>
      </c>
      <c r="P1052" s="11"/>
      <c r="Q1052" s="11"/>
      <c r="R1052" s="11"/>
      <c r="S1052" s="24" t="s">
        <v>30</v>
      </c>
      <c r="T1052" s="24"/>
      <c r="U1052" s="24"/>
      <c r="V1052" s="24"/>
    </row>
    <row r="1053" spans="1:22" ht="38.25">
      <c r="A1053" s="10" t="s">
        <v>286</v>
      </c>
      <c r="B1053" s="11" t="str">
        <f>IFERROR(VLOOKUP(A1053,Systems!A:B,2,FALSE),"Various")</f>
        <v>All air systems</v>
      </c>
      <c r="C1053" s="11" t="s">
        <v>774</v>
      </c>
      <c r="D1053" s="11"/>
      <c r="E1053" s="11"/>
      <c r="F1053" s="24" t="s">
        <v>1064</v>
      </c>
      <c r="G1053" s="38"/>
      <c r="H1053" s="11"/>
      <c r="I1053" s="11"/>
      <c r="J1053" s="11"/>
      <c r="K1053" s="11"/>
      <c r="L1053" s="11"/>
      <c r="M1053" s="11"/>
      <c r="N1053" s="11"/>
      <c r="O1053" s="11" t="s">
        <v>805</v>
      </c>
      <c r="P1053" s="11"/>
      <c r="Q1053" s="11"/>
      <c r="R1053" s="11"/>
      <c r="S1053" s="24" t="s">
        <v>30</v>
      </c>
      <c r="T1053" s="24"/>
      <c r="U1053" s="24"/>
      <c r="V1053" s="24"/>
    </row>
    <row r="1054" spans="1:22" ht="51">
      <c r="A1054" s="10" t="s">
        <v>286</v>
      </c>
      <c r="B1054" s="11" t="str">
        <f>IFERROR(VLOOKUP(A1054,Systems!A:B,2,FALSE),"Various")</f>
        <v>All air systems</v>
      </c>
      <c r="C1054" s="11" t="s">
        <v>774</v>
      </c>
      <c r="D1054" s="11"/>
      <c r="E1054" s="11"/>
      <c r="F1054" s="24" t="s">
        <v>1064</v>
      </c>
      <c r="G1054" s="38"/>
      <c r="H1054" s="11"/>
      <c r="I1054" s="11"/>
      <c r="J1054" s="11"/>
      <c r="K1054" s="11"/>
      <c r="L1054" s="11"/>
      <c r="M1054" s="11"/>
      <c r="N1054" s="11"/>
      <c r="O1054" s="11" t="s">
        <v>806</v>
      </c>
      <c r="P1054" s="11"/>
      <c r="Q1054" s="11"/>
      <c r="R1054" s="11"/>
      <c r="S1054" s="24" t="s">
        <v>30</v>
      </c>
      <c r="T1054" s="24"/>
      <c r="U1054" s="24"/>
      <c r="V1054" s="24"/>
    </row>
    <row r="1055" spans="1:22" ht="51">
      <c r="A1055" s="10" t="s">
        <v>1427</v>
      </c>
      <c r="B1055" s="11" t="str">
        <f>IFERROR(VLOOKUP(A1055,Systems!A:B,2,FALSE),"Various")</f>
        <v>External fire fighting system</v>
      </c>
      <c r="C1055" s="11" t="s">
        <v>2128</v>
      </c>
      <c r="D1055" s="11"/>
      <c r="E1055" s="11"/>
      <c r="F1055" s="24" t="s">
        <v>1064</v>
      </c>
      <c r="G1055" s="38"/>
      <c r="H1055" s="11" t="s">
        <v>2127</v>
      </c>
      <c r="I1055" s="11"/>
      <c r="J1055" s="11"/>
      <c r="K1055" s="11"/>
      <c r="L1055" s="11"/>
      <c r="M1055" s="11"/>
      <c r="N1055" s="11"/>
      <c r="O1055" s="11"/>
      <c r="P1055" s="11"/>
      <c r="Q1055" s="11"/>
      <c r="R1055" s="11"/>
      <c r="S1055" s="24"/>
      <c r="T1055" s="24"/>
      <c r="U1055" s="24"/>
      <c r="V1055" s="24"/>
    </row>
    <row r="1056" spans="1:22" ht="102">
      <c r="A1056" s="10" t="s">
        <v>1427</v>
      </c>
      <c r="B1056" s="11" t="str">
        <f>IFERROR(VLOOKUP(A1056,Systems!A:B,2,FALSE),"Various")</f>
        <v>External fire fighting system</v>
      </c>
      <c r="C1056" s="11" t="s">
        <v>487</v>
      </c>
      <c r="D1056" s="11"/>
      <c r="E1056" s="11"/>
      <c r="F1056" s="24"/>
      <c r="G1056" s="38"/>
      <c r="H1056" s="11"/>
      <c r="I1056" s="11"/>
      <c r="J1056" s="11"/>
      <c r="K1056" s="11"/>
      <c r="L1056" s="11"/>
      <c r="M1056" s="11" t="s">
        <v>485</v>
      </c>
      <c r="N1056" s="11"/>
      <c r="O1056" s="11"/>
      <c r="P1056" s="11"/>
      <c r="Q1056" s="11"/>
      <c r="R1056" s="11"/>
      <c r="S1056" s="24" t="s">
        <v>30</v>
      </c>
      <c r="T1056" s="24"/>
      <c r="U1056" s="24"/>
      <c r="V1056" s="24"/>
    </row>
    <row r="1057" spans="1:22" ht="102">
      <c r="A1057" s="10" t="s">
        <v>814</v>
      </c>
      <c r="B1057" s="11" t="str">
        <f>IFERROR(VLOOKUP(A1057,Systems!A:B,2,FALSE),"Various")</f>
        <v>Fixed internal fifi system</v>
      </c>
      <c r="C1057" s="11" t="s">
        <v>486</v>
      </c>
      <c r="D1057" s="11"/>
      <c r="E1057" s="11"/>
      <c r="F1057" s="24"/>
      <c r="G1057" s="38"/>
      <c r="H1057" s="11"/>
      <c r="I1057" s="11"/>
      <c r="J1057" s="11"/>
      <c r="K1057" s="11"/>
      <c r="L1057" s="11"/>
      <c r="M1057" s="11" t="s">
        <v>919</v>
      </c>
      <c r="N1057" s="11"/>
      <c r="O1057" s="11"/>
      <c r="P1057" s="11"/>
      <c r="Q1057" s="11"/>
      <c r="R1057" s="11"/>
      <c r="S1057" s="24" t="s">
        <v>30</v>
      </c>
      <c r="T1057" s="24"/>
      <c r="U1057" s="24"/>
      <c r="V1057" s="24"/>
    </row>
    <row r="1058" spans="1:22" ht="63.75">
      <c r="A1058" s="10" t="s">
        <v>2415</v>
      </c>
      <c r="B1058" s="11" t="str">
        <f>IFERROR(VLOOKUP(A1058,Systems!A:B,2,FALSE),"Various")</f>
        <v>Various</v>
      </c>
      <c r="C1058" s="11" t="s">
        <v>2418</v>
      </c>
      <c r="D1058" s="11"/>
      <c r="E1058" s="11"/>
      <c r="F1058" s="24"/>
      <c r="G1058" s="38" t="s">
        <v>2419</v>
      </c>
      <c r="H1058" s="11"/>
      <c r="I1058" s="11"/>
      <c r="J1058" s="11"/>
      <c r="K1058" s="11"/>
      <c r="L1058" s="11"/>
      <c r="M1058" s="11"/>
      <c r="N1058" s="11"/>
      <c r="O1058" s="11"/>
      <c r="P1058" s="11"/>
      <c r="Q1058" s="11"/>
      <c r="R1058" s="11"/>
      <c r="S1058" s="24" t="s">
        <v>30</v>
      </c>
      <c r="T1058" s="24"/>
      <c r="U1058" s="24"/>
      <c r="V1058" s="24"/>
    </row>
    <row r="1059" spans="1:22" ht="25.5">
      <c r="A1059" s="10" t="s">
        <v>2413</v>
      </c>
      <c r="B1059" s="11" t="str">
        <f>IFERROR(VLOOKUP(A1059,Systems!A:B,2,FALSE),"Various")</f>
        <v>LNG / Ammonia system</v>
      </c>
      <c r="C1059" s="11" t="s">
        <v>2417</v>
      </c>
      <c r="D1059" s="11"/>
      <c r="E1059" s="11"/>
      <c r="F1059" s="24"/>
      <c r="G1059" s="38" t="s">
        <v>2420</v>
      </c>
      <c r="H1059" s="11"/>
      <c r="I1059" s="11"/>
      <c r="J1059" s="11"/>
      <c r="K1059" s="11"/>
      <c r="L1059" s="11" t="s">
        <v>1878</v>
      </c>
      <c r="M1059" s="11"/>
      <c r="N1059" s="11"/>
      <c r="O1059" s="11"/>
      <c r="P1059" s="11"/>
      <c r="Q1059" s="11"/>
      <c r="R1059" s="11"/>
      <c r="S1059" s="24" t="s">
        <v>30</v>
      </c>
      <c r="T1059" s="24"/>
      <c r="U1059" s="24"/>
      <c r="V1059" s="24"/>
    </row>
    <row r="1060" spans="1:22" ht="102">
      <c r="A1060" s="10" t="s">
        <v>2415</v>
      </c>
      <c r="B1060" s="11" t="str">
        <f>IFERROR(VLOOKUP(A1060,Systems!A:B,2,FALSE),"Various")</f>
        <v>Various</v>
      </c>
      <c r="C1060" s="11" t="s">
        <v>2417</v>
      </c>
      <c r="D1060" s="11"/>
      <c r="E1060" s="11"/>
      <c r="F1060" s="24"/>
      <c r="G1060" s="38" t="s">
        <v>2421</v>
      </c>
      <c r="H1060" s="11"/>
      <c r="I1060" s="11"/>
      <c r="J1060" s="11"/>
      <c r="K1060" s="11"/>
      <c r="L1060" s="11" t="s">
        <v>1878</v>
      </c>
      <c r="M1060" s="11"/>
      <c r="N1060" s="11"/>
      <c r="O1060" s="11"/>
      <c r="P1060" s="11"/>
      <c r="Q1060" s="11"/>
      <c r="R1060" s="11"/>
      <c r="S1060" s="24" t="s">
        <v>30</v>
      </c>
      <c r="T1060" s="24"/>
      <c r="U1060" s="24"/>
      <c r="V1060" s="24"/>
    </row>
    <row r="1061" spans="1:22" ht="25.5">
      <c r="A1061" s="10" t="s">
        <v>2413</v>
      </c>
      <c r="B1061" s="11" t="str">
        <f>IFERROR(VLOOKUP(A1061,Systems!A:B,2,FALSE),"Various")</f>
        <v>LNG / Ammonia system</v>
      </c>
      <c r="C1061" s="11" t="s">
        <v>2418</v>
      </c>
      <c r="D1061" s="11"/>
      <c r="E1061" s="11"/>
      <c r="F1061" s="24"/>
      <c r="G1061" s="38" t="s">
        <v>2422</v>
      </c>
      <c r="H1061" s="11"/>
      <c r="I1061" s="11"/>
      <c r="J1061" s="11"/>
      <c r="K1061" s="11"/>
      <c r="L1061" s="11"/>
      <c r="M1061" s="11"/>
      <c r="N1061" s="11"/>
      <c r="O1061" s="11"/>
      <c r="P1061" s="11"/>
      <c r="Q1061" s="11"/>
      <c r="R1061" s="11"/>
      <c r="S1061" s="24"/>
      <c r="T1061" s="24"/>
      <c r="U1061" s="24"/>
      <c r="V1061" s="24"/>
    </row>
    <row r="1062" spans="1:22" ht="38.25">
      <c r="A1062" s="10" t="s">
        <v>2413</v>
      </c>
      <c r="B1062" s="11" t="str">
        <f>IFERROR(VLOOKUP(A1062,Systems!A:B,2,FALSE),"Various")</f>
        <v>LNG / Ammonia system</v>
      </c>
      <c r="C1062" s="11" t="s">
        <v>2418</v>
      </c>
      <c r="D1062" s="11"/>
      <c r="E1062" s="11"/>
      <c r="F1062" s="24"/>
      <c r="G1062" s="38" t="s">
        <v>2427</v>
      </c>
      <c r="H1062" s="11"/>
      <c r="I1062" s="11"/>
      <c r="J1062" s="11"/>
      <c r="K1062" s="11"/>
      <c r="L1062" s="11"/>
      <c r="M1062" s="11"/>
      <c r="N1062" s="11"/>
      <c r="O1062" s="11"/>
      <c r="P1062" s="11"/>
      <c r="Q1062" s="11"/>
      <c r="R1062" s="11"/>
      <c r="S1062" s="24"/>
      <c r="T1062" s="24"/>
      <c r="U1062" s="24"/>
      <c r="V1062" s="24"/>
    </row>
    <row r="1063" spans="1:22" ht="63.75">
      <c r="A1063" s="10" t="s">
        <v>2415</v>
      </c>
      <c r="B1063" s="11" t="str">
        <f>IFERROR(VLOOKUP(A1063,Systems!A:B,2,FALSE),"Various")</f>
        <v>Various</v>
      </c>
      <c r="C1063" s="11" t="s">
        <v>2423</v>
      </c>
      <c r="D1063" s="11"/>
      <c r="E1063" s="11"/>
      <c r="F1063" s="24"/>
      <c r="G1063" s="38" t="s">
        <v>2428</v>
      </c>
      <c r="H1063" s="11"/>
      <c r="I1063" s="11"/>
      <c r="J1063" s="11"/>
      <c r="K1063" s="11"/>
      <c r="L1063" s="11"/>
      <c r="M1063" s="11"/>
      <c r="N1063" s="11"/>
      <c r="O1063" s="11"/>
      <c r="P1063" s="11"/>
      <c r="Q1063" s="11"/>
      <c r="R1063" s="11"/>
      <c r="S1063" s="24"/>
      <c r="T1063" s="24"/>
      <c r="U1063" s="24"/>
      <c r="V1063" s="24"/>
    </row>
    <row r="1064" spans="1:22" ht="63.75">
      <c r="A1064" s="10" t="s">
        <v>2415</v>
      </c>
      <c r="B1064" s="11" t="str">
        <f>IFERROR(VLOOKUP(A1064,Systems!A:B,2,FALSE),"Various")</f>
        <v>Various</v>
      </c>
      <c r="C1064" s="11" t="s">
        <v>2423</v>
      </c>
      <c r="D1064" s="11"/>
      <c r="E1064" s="11"/>
      <c r="F1064" s="24"/>
      <c r="G1064" s="38" t="s">
        <v>2429</v>
      </c>
      <c r="H1064" s="11"/>
      <c r="I1064" s="11"/>
      <c r="J1064" s="11"/>
      <c r="K1064" s="11"/>
      <c r="L1064" s="11"/>
      <c r="M1064" s="11"/>
      <c r="N1064" s="11"/>
      <c r="O1064" s="11"/>
      <c r="P1064" s="11"/>
      <c r="Q1064" s="11"/>
      <c r="R1064" s="11"/>
      <c r="S1064" s="24"/>
      <c r="T1064" s="24"/>
      <c r="U1064" s="24"/>
      <c r="V1064" s="24"/>
    </row>
    <row r="1065" spans="1:22" ht="63.75">
      <c r="A1065" s="10" t="s">
        <v>2415</v>
      </c>
      <c r="B1065" s="11" t="str">
        <f>IFERROR(VLOOKUP(A1065,Systems!A:B,2,FALSE),"Various")</f>
        <v>Various</v>
      </c>
      <c r="C1065" s="11" t="s">
        <v>2423</v>
      </c>
      <c r="D1065" s="11"/>
      <c r="E1065" s="11"/>
      <c r="F1065" s="24"/>
      <c r="G1065" s="38" t="s">
        <v>2430</v>
      </c>
      <c r="H1065" s="11"/>
      <c r="I1065" s="11"/>
      <c r="J1065" s="11"/>
      <c r="K1065" s="11"/>
      <c r="L1065" s="11"/>
      <c r="M1065" s="11"/>
      <c r="N1065" s="11"/>
      <c r="O1065" s="11"/>
      <c r="P1065" s="11"/>
      <c r="Q1065" s="11"/>
      <c r="R1065" s="11"/>
      <c r="S1065" s="24"/>
      <c r="T1065" s="24"/>
      <c r="U1065" s="24"/>
      <c r="V1065" s="24"/>
    </row>
    <row r="1066" spans="1:22" ht="51">
      <c r="A1066" s="10" t="s">
        <v>2415</v>
      </c>
      <c r="B1066" s="11" t="str">
        <f>IFERROR(VLOOKUP(A1066,Systems!A:B,2,FALSE),"Various")</f>
        <v>Various</v>
      </c>
      <c r="C1066" s="11" t="s">
        <v>2424</v>
      </c>
      <c r="D1066" s="11"/>
      <c r="E1066" s="11"/>
      <c r="F1066" s="24"/>
      <c r="G1066" s="38" t="s">
        <v>2431</v>
      </c>
      <c r="H1066" s="11"/>
      <c r="I1066" s="11"/>
      <c r="J1066" s="11"/>
      <c r="K1066" s="11"/>
      <c r="L1066" s="11"/>
      <c r="M1066" s="11"/>
      <c r="N1066" s="11"/>
      <c r="O1066" s="11"/>
      <c r="P1066" s="11"/>
      <c r="Q1066" s="11"/>
      <c r="R1066" s="11"/>
      <c r="S1066" s="24"/>
      <c r="T1066" s="24"/>
      <c r="U1066" s="24"/>
      <c r="V1066" s="24"/>
    </row>
    <row r="1067" spans="1:22" ht="38.25">
      <c r="A1067" s="10" t="s">
        <v>2426</v>
      </c>
      <c r="B1067" s="11" t="str">
        <f>IFERROR(VLOOKUP(A1067,Systems!A:B,2,FALSE),"Various")</f>
        <v>Various</v>
      </c>
      <c r="C1067" s="11" t="s">
        <v>2425</v>
      </c>
      <c r="D1067" s="11"/>
      <c r="E1067" s="11"/>
      <c r="F1067" s="24"/>
      <c r="G1067" s="38" t="s">
        <v>2432</v>
      </c>
      <c r="H1067" s="11"/>
      <c r="I1067" s="11"/>
      <c r="J1067" s="11"/>
      <c r="K1067" s="11"/>
      <c r="L1067" s="11"/>
      <c r="M1067" s="11"/>
      <c r="N1067" s="11"/>
      <c r="O1067" s="11"/>
      <c r="P1067" s="11"/>
      <c r="Q1067" s="11"/>
      <c r="R1067" s="11"/>
      <c r="S1067" s="24"/>
      <c r="T1067" s="24"/>
      <c r="U1067" s="24"/>
      <c r="V1067" s="24"/>
    </row>
    <row r="1068" spans="1:22" ht="25.5">
      <c r="A1068" s="10" t="s">
        <v>2413</v>
      </c>
      <c r="B1068" s="11" t="str">
        <f>IFERROR(VLOOKUP(A1068,Systems!A:B,2,FALSE),"Various")</f>
        <v>LNG / Ammonia system</v>
      </c>
      <c r="C1068" s="11" t="s">
        <v>2436</v>
      </c>
      <c r="D1068" s="11"/>
      <c r="E1068" s="11"/>
      <c r="F1068" s="24"/>
      <c r="G1068" s="38" t="s">
        <v>2433</v>
      </c>
      <c r="H1068" s="11"/>
      <c r="I1068" s="11"/>
      <c r="J1068" s="11"/>
      <c r="K1068" s="11"/>
      <c r="L1068" s="11"/>
      <c r="M1068" s="11"/>
      <c r="N1068" s="11"/>
      <c r="O1068" s="11"/>
      <c r="P1068" s="11"/>
      <c r="Q1068" s="11"/>
      <c r="R1068" s="11"/>
      <c r="S1068" s="24"/>
      <c r="T1068" s="24"/>
      <c r="U1068" s="24"/>
      <c r="V1068" s="24"/>
    </row>
    <row r="1069" spans="1:22" ht="38.25">
      <c r="A1069" s="10" t="s">
        <v>2413</v>
      </c>
      <c r="B1069" s="11" t="str">
        <f>IFERROR(VLOOKUP(A1069,Systems!A:B,2,FALSE),"Various")</f>
        <v>LNG / Ammonia system</v>
      </c>
      <c r="C1069" s="11" t="s">
        <v>2436</v>
      </c>
      <c r="D1069" s="11"/>
      <c r="E1069" s="11"/>
      <c r="F1069" s="24"/>
      <c r="G1069" s="38" t="s">
        <v>2435</v>
      </c>
      <c r="H1069" s="11"/>
      <c r="I1069" s="11"/>
      <c r="J1069" s="11"/>
      <c r="K1069" s="11"/>
      <c r="L1069" s="11"/>
      <c r="M1069" s="11"/>
      <c r="N1069" s="11"/>
      <c r="O1069" s="11"/>
      <c r="P1069" s="11"/>
      <c r="Q1069" s="11"/>
      <c r="R1069" s="11"/>
      <c r="S1069" s="24"/>
      <c r="T1069" s="24"/>
      <c r="U1069" s="24"/>
      <c r="V1069" s="24"/>
    </row>
    <row r="1070" spans="1:22" ht="38.25">
      <c r="A1070" s="10" t="s">
        <v>2413</v>
      </c>
      <c r="B1070" s="11" t="str">
        <f>IFERROR(VLOOKUP(A1070,Systems!A:B,2,FALSE),"Various")</f>
        <v>LNG / Ammonia system</v>
      </c>
      <c r="C1070" s="11" t="s">
        <v>2436</v>
      </c>
      <c r="D1070" s="11"/>
      <c r="E1070" s="11"/>
      <c r="F1070" s="24"/>
      <c r="G1070" s="38" t="s">
        <v>2437</v>
      </c>
      <c r="H1070" s="11"/>
      <c r="I1070" s="11"/>
      <c r="J1070" s="11"/>
      <c r="K1070" s="11"/>
      <c r="L1070" s="11"/>
      <c r="M1070" s="11"/>
      <c r="N1070" s="11"/>
      <c r="O1070" s="11"/>
      <c r="P1070" s="11"/>
      <c r="Q1070" s="11"/>
      <c r="R1070" s="11"/>
      <c r="S1070" s="24"/>
      <c r="T1070" s="24"/>
      <c r="U1070" s="24"/>
      <c r="V1070" s="24"/>
    </row>
    <row r="1071" spans="1:22" ht="38.25">
      <c r="A1071" s="10" t="s">
        <v>2413</v>
      </c>
      <c r="B1071" s="11" t="str">
        <f>IFERROR(VLOOKUP(A1071,Systems!A:B,2,FALSE),"Various")</f>
        <v>LNG / Ammonia system</v>
      </c>
      <c r="C1071" s="11" t="s">
        <v>2436</v>
      </c>
      <c r="D1071" s="11"/>
      <c r="E1071" s="11"/>
      <c r="F1071" s="24"/>
      <c r="G1071" s="38" t="s">
        <v>2438</v>
      </c>
      <c r="H1071" s="11"/>
      <c r="I1071" s="11"/>
      <c r="J1071" s="11"/>
      <c r="K1071" s="11"/>
      <c r="L1071" s="11"/>
      <c r="M1071" s="11"/>
      <c r="N1071" s="11"/>
      <c r="O1071" s="11"/>
      <c r="P1071" s="11"/>
      <c r="Q1071" s="11"/>
      <c r="R1071" s="11"/>
      <c r="S1071" s="24"/>
      <c r="T1071" s="24"/>
      <c r="U1071" s="24"/>
      <c r="V1071" s="24"/>
    </row>
    <row r="1072" spans="1:22" ht="25.5">
      <c r="A1072" s="10" t="s">
        <v>2413</v>
      </c>
      <c r="B1072" s="11" t="str">
        <f>IFERROR(VLOOKUP(A1072,Systems!A:B,2,FALSE),"Various")</f>
        <v>LNG / Ammonia system</v>
      </c>
      <c r="C1072" s="11" t="s">
        <v>2436</v>
      </c>
      <c r="D1072" s="11"/>
      <c r="E1072" s="11"/>
      <c r="F1072" s="24"/>
      <c r="G1072" s="38" t="s">
        <v>2439</v>
      </c>
      <c r="H1072" s="11"/>
      <c r="I1072" s="11"/>
      <c r="J1072" s="11"/>
      <c r="K1072" s="11"/>
      <c r="L1072" s="11"/>
      <c r="M1072" s="11"/>
      <c r="N1072" s="11"/>
      <c r="O1072" s="11"/>
      <c r="P1072" s="11"/>
      <c r="Q1072" s="11"/>
      <c r="R1072" s="11"/>
      <c r="S1072" s="24"/>
      <c r="T1072" s="24"/>
      <c r="U1072" s="24"/>
      <c r="V1072" s="24"/>
    </row>
    <row r="1073" spans="1:22" ht="51">
      <c r="A1073" s="10" t="s">
        <v>2415</v>
      </c>
      <c r="B1073" s="11" t="str">
        <f>IFERROR(VLOOKUP(A1073,Systems!A:B,2,FALSE),"Various")</f>
        <v>Various</v>
      </c>
      <c r="C1073" s="11" t="s">
        <v>2441</v>
      </c>
      <c r="D1073" s="11"/>
      <c r="E1073" s="11"/>
      <c r="F1073" s="24"/>
      <c r="G1073" s="38" t="s">
        <v>2440</v>
      </c>
      <c r="H1073" s="11"/>
      <c r="I1073" s="11"/>
      <c r="J1073" s="11"/>
      <c r="K1073" s="11"/>
      <c r="L1073" s="11"/>
      <c r="M1073" s="11"/>
      <c r="N1073" s="11"/>
      <c r="O1073" s="11"/>
      <c r="P1073" s="11"/>
      <c r="Q1073" s="11"/>
      <c r="R1073" s="11"/>
      <c r="S1073" s="24"/>
      <c r="T1073" s="24"/>
      <c r="U1073" s="24"/>
      <c r="V1073" s="24"/>
    </row>
    <row r="1074" spans="1:22" ht="38.25">
      <c r="A1074" s="10" t="s">
        <v>2445</v>
      </c>
      <c r="B1074" s="11" t="str">
        <f>IFERROR(VLOOKUP(A1074,Systems!A:B,2,FALSE),"Various")</f>
        <v>Various</v>
      </c>
      <c r="C1074" s="11" t="s">
        <v>2472</v>
      </c>
      <c r="D1074" s="11"/>
      <c r="E1074" s="11"/>
      <c r="F1074" s="24"/>
      <c r="G1074" s="38" t="s">
        <v>2442</v>
      </c>
      <c r="H1074" s="11"/>
      <c r="I1074" s="11"/>
      <c r="J1074" s="11"/>
      <c r="K1074" s="11"/>
      <c r="L1074" s="11"/>
      <c r="M1074" s="11"/>
      <c r="N1074" s="11"/>
      <c r="O1074" s="11"/>
      <c r="P1074" s="11"/>
      <c r="Q1074" s="11"/>
      <c r="R1074" s="11"/>
      <c r="S1074" s="24"/>
      <c r="T1074" s="24"/>
      <c r="U1074" s="24"/>
      <c r="V1074" s="24"/>
    </row>
    <row r="1075" spans="1:22" ht="76.5">
      <c r="A1075" s="10" t="s">
        <v>2413</v>
      </c>
      <c r="B1075" s="11" t="str">
        <f>IFERROR(VLOOKUP(A1075,Systems!A:B,2,FALSE),"Various")</f>
        <v>LNG / Ammonia system</v>
      </c>
      <c r="C1075" s="11" t="s">
        <v>2476</v>
      </c>
      <c r="D1075" s="11"/>
      <c r="E1075" s="11"/>
      <c r="F1075" s="24"/>
      <c r="G1075" s="38" t="s">
        <v>2443</v>
      </c>
      <c r="H1075" s="11"/>
      <c r="I1075" s="11"/>
      <c r="J1075" s="11"/>
      <c r="K1075" s="11"/>
      <c r="L1075" s="11"/>
      <c r="M1075" s="11"/>
      <c r="N1075" s="11"/>
      <c r="O1075" s="11"/>
      <c r="P1075" s="11"/>
      <c r="Q1075" s="11"/>
      <c r="R1075" s="11"/>
      <c r="S1075" s="24"/>
      <c r="T1075" s="24"/>
      <c r="U1075" s="24"/>
      <c r="V1075" s="24"/>
    </row>
    <row r="1076" spans="1:22" ht="51">
      <c r="A1076" s="10" t="s">
        <v>2413</v>
      </c>
      <c r="B1076" s="11" t="str">
        <f>IFERROR(VLOOKUP(A1076,Systems!A:B,2,FALSE),"Various")</f>
        <v>LNG / Ammonia system</v>
      </c>
      <c r="C1076" s="11" t="s">
        <v>2476</v>
      </c>
      <c r="D1076" s="11"/>
      <c r="E1076" s="11"/>
      <c r="F1076" s="24"/>
      <c r="G1076" s="38" t="s">
        <v>2444</v>
      </c>
      <c r="H1076" s="11"/>
      <c r="I1076" s="11"/>
      <c r="J1076" s="11"/>
      <c r="K1076" s="11"/>
      <c r="L1076" s="11"/>
      <c r="M1076" s="11"/>
      <c r="N1076" s="11"/>
      <c r="O1076" s="11"/>
      <c r="P1076" s="11"/>
      <c r="Q1076" s="11"/>
      <c r="R1076" s="11"/>
      <c r="S1076" s="24"/>
      <c r="T1076" s="24"/>
      <c r="U1076" s="24"/>
      <c r="V1076" s="24"/>
    </row>
    <row r="1077" spans="1:22" ht="51">
      <c r="A1077" s="10" t="s">
        <v>2413</v>
      </c>
      <c r="B1077" s="11" t="str">
        <f>IFERROR(VLOOKUP(A1077,Systems!A:B,2,FALSE),"Various")</f>
        <v>LNG / Ammonia system</v>
      </c>
      <c r="C1077" s="11" t="s">
        <v>2447</v>
      </c>
      <c r="D1077" s="11"/>
      <c r="E1077" s="11"/>
      <c r="F1077" s="24"/>
      <c r="G1077" s="38" t="s">
        <v>2446</v>
      </c>
      <c r="H1077" s="11"/>
      <c r="I1077" s="11"/>
      <c r="J1077" s="11"/>
      <c r="K1077" s="11"/>
      <c r="L1077" s="11"/>
      <c r="M1077" s="11"/>
      <c r="N1077" s="11"/>
      <c r="O1077" s="11"/>
      <c r="P1077" s="11"/>
      <c r="Q1077" s="11"/>
      <c r="R1077" s="11"/>
      <c r="S1077" s="24"/>
      <c r="T1077" s="24"/>
      <c r="U1077" s="24"/>
      <c r="V1077" s="24"/>
    </row>
    <row r="1078" spans="1:22" ht="25.5">
      <c r="A1078" s="10" t="s">
        <v>2413</v>
      </c>
      <c r="B1078" s="11" t="str">
        <f>IFERROR(VLOOKUP(A1078,Systems!A:B,2,FALSE),"Various")</f>
        <v>LNG / Ammonia system</v>
      </c>
      <c r="C1078" s="11" t="s">
        <v>2447</v>
      </c>
      <c r="D1078" s="11"/>
      <c r="E1078" s="11"/>
      <c r="F1078" s="24"/>
      <c r="G1078" s="38" t="s">
        <v>2448</v>
      </c>
      <c r="H1078" s="11"/>
      <c r="I1078" s="11"/>
      <c r="J1078" s="11"/>
      <c r="K1078" s="11"/>
      <c r="L1078" s="11"/>
      <c r="M1078" s="11"/>
      <c r="N1078" s="11"/>
      <c r="O1078" s="11"/>
      <c r="P1078" s="11"/>
      <c r="Q1078" s="11"/>
      <c r="R1078" s="11"/>
      <c r="S1078" s="24"/>
      <c r="T1078" s="24"/>
      <c r="U1078" s="24"/>
      <c r="V1078" s="24"/>
    </row>
    <row r="1079" spans="1:22" ht="51">
      <c r="A1079" s="10" t="s">
        <v>2413</v>
      </c>
      <c r="B1079" s="11" t="str">
        <f>IFERROR(VLOOKUP(A1079,Systems!A:B,2,FALSE),"Various")</f>
        <v>LNG / Ammonia system</v>
      </c>
      <c r="C1079" s="11" t="s">
        <v>2447</v>
      </c>
      <c r="D1079" s="11"/>
      <c r="E1079" s="11"/>
      <c r="F1079" s="24"/>
      <c r="G1079" s="38" t="s">
        <v>2449</v>
      </c>
      <c r="H1079" s="11"/>
      <c r="I1079" s="11"/>
      <c r="J1079" s="11"/>
      <c r="K1079" s="11"/>
      <c r="L1079" s="11"/>
      <c r="M1079" s="11"/>
      <c r="N1079" s="11"/>
      <c r="O1079" s="11"/>
      <c r="P1079" s="11"/>
      <c r="Q1079" s="11"/>
      <c r="R1079" s="11"/>
      <c r="S1079" s="24"/>
      <c r="T1079" s="24"/>
      <c r="U1079" s="24"/>
      <c r="V1079" s="24"/>
    </row>
    <row r="1080" spans="1:22" ht="25.5">
      <c r="A1080" s="10" t="s">
        <v>2413</v>
      </c>
      <c r="B1080" s="11" t="str">
        <f>IFERROR(VLOOKUP(A1080,Systems!A:B,2,FALSE),"Various")</f>
        <v>LNG / Ammonia system</v>
      </c>
      <c r="C1080" s="11" t="s">
        <v>2447</v>
      </c>
      <c r="D1080" s="11"/>
      <c r="E1080" s="11"/>
      <c r="F1080" s="24"/>
      <c r="G1080" s="38" t="s">
        <v>2450</v>
      </c>
      <c r="H1080" s="11"/>
      <c r="I1080" s="11"/>
      <c r="J1080" s="11"/>
      <c r="K1080" s="11"/>
      <c r="L1080" s="11"/>
      <c r="M1080" s="11"/>
      <c r="N1080" s="11"/>
      <c r="O1080" s="11"/>
      <c r="P1080" s="11"/>
      <c r="Q1080" s="11"/>
      <c r="R1080" s="11"/>
      <c r="S1080" s="24"/>
      <c r="T1080" s="24"/>
      <c r="U1080" s="24"/>
      <c r="V1080" s="24"/>
    </row>
    <row r="1081" spans="1:22" ht="38.25">
      <c r="A1081" s="10" t="s">
        <v>2413</v>
      </c>
      <c r="B1081" s="11" t="str">
        <f>IFERROR(VLOOKUP(A1081,Systems!A:B,2,FALSE),"Various")</f>
        <v>LNG / Ammonia system</v>
      </c>
      <c r="C1081" s="11" t="s">
        <v>2447</v>
      </c>
      <c r="D1081" s="11"/>
      <c r="E1081" s="11"/>
      <c r="F1081" s="24"/>
      <c r="G1081" s="38" t="s">
        <v>2451</v>
      </c>
      <c r="H1081" s="11"/>
      <c r="I1081" s="11"/>
      <c r="J1081" s="11"/>
      <c r="K1081" s="11"/>
      <c r="L1081" s="11"/>
      <c r="M1081" s="11"/>
      <c r="N1081" s="11"/>
      <c r="O1081" s="11"/>
      <c r="P1081" s="11"/>
      <c r="Q1081" s="11"/>
      <c r="R1081" s="11"/>
      <c r="S1081" s="24"/>
      <c r="T1081" s="24"/>
      <c r="U1081" s="24"/>
      <c r="V1081" s="24"/>
    </row>
    <row r="1082" spans="1:22" ht="25.5">
      <c r="A1082" s="10" t="s">
        <v>433</v>
      </c>
      <c r="B1082" s="11" t="str">
        <f>IFERROR(VLOOKUP(A1082,Systems!A:B,2,FALSE),"Various")</f>
        <v>Ventilation system</v>
      </c>
      <c r="C1082" s="11" t="s">
        <v>2453</v>
      </c>
      <c r="D1082" s="11"/>
      <c r="E1082" s="11"/>
      <c r="F1082" s="24"/>
      <c r="G1082" s="38" t="s">
        <v>2452</v>
      </c>
      <c r="H1082" s="11"/>
      <c r="I1082" s="11"/>
      <c r="J1082" s="11"/>
      <c r="K1082" s="11"/>
      <c r="L1082" s="11"/>
      <c r="M1082" s="11"/>
      <c r="N1082" s="11"/>
      <c r="O1082" s="11"/>
      <c r="P1082" s="11"/>
      <c r="Q1082" s="11"/>
      <c r="R1082" s="11"/>
      <c r="S1082" s="24"/>
      <c r="T1082" s="24"/>
      <c r="U1082" s="24"/>
      <c r="V1082" s="24"/>
    </row>
    <row r="1083" spans="1:22" ht="38.25">
      <c r="A1083" s="10" t="s">
        <v>2413</v>
      </c>
      <c r="B1083" s="11" t="str">
        <f>IFERROR(VLOOKUP(A1083,Systems!A:B,2,FALSE),"Various")</f>
        <v>LNG / Ammonia system</v>
      </c>
      <c r="C1083" s="11" t="s">
        <v>2455</v>
      </c>
      <c r="D1083" s="11"/>
      <c r="E1083" s="11"/>
      <c r="F1083" s="24"/>
      <c r="G1083" s="38" t="s">
        <v>2454</v>
      </c>
      <c r="H1083" s="11"/>
      <c r="I1083" s="11"/>
      <c r="J1083" s="11"/>
      <c r="K1083" s="11"/>
      <c r="L1083" s="11"/>
      <c r="M1083" s="11"/>
      <c r="N1083" s="11"/>
      <c r="O1083" s="11"/>
      <c r="P1083" s="11"/>
      <c r="Q1083" s="11"/>
      <c r="R1083" s="11"/>
      <c r="S1083" s="24"/>
      <c r="T1083" s="24"/>
      <c r="U1083" s="24"/>
      <c r="V1083" s="24"/>
    </row>
    <row r="1084" spans="1:22" ht="38.25">
      <c r="A1084" s="10" t="s">
        <v>2413</v>
      </c>
      <c r="B1084" s="11" t="str">
        <f>IFERROR(VLOOKUP(A1084,Systems!A:B,2,FALSE),"Various")</f>
        <v>LNG / Ammonia system</v>
      </c>
      <c r="C1084" s="11" t="s">
        <v>2455</v>
      </c>
      <c r="D1084" s="11"/>
      <c r="E1084" s="11"/>
      <c r="F1084" s="24"/>
      <c r="G1084" s="38" t="s">
        <v>2456</v>
      </c>
      <c r="H1084" s="11"/>
      <c r="I1084" s="11"/>
      <c r="J1084" s="11"/>
      <c r="K1084" s="11"/>
      <c r="L1084" s="11"/>
      <c r="M1084" s="11"/>
      <c r="N1084" s="11"/>
      <c r="O1084" s="11"/>
      <c r="P1084" s="11"/>
      <c r="Q1084" s="11"/>
      <c r="R1084" s="11"/>
      <c r="S1084" s="24"/>
      <c r="T1084" s="24"/>
      <c r="U1084" s="24"/>
      <c r="V1084" s="24"/>
    </row>
    <row r="1085" spans="1:22" ht="25.5">
      <c r="A1085" s="10" t="s">
        <v>2413</v>
      </c>
      <c r="B1085" s="11" t="str">
        <f>IFERROR(VLOOKUP(A1085,Systems!A:B,2,FALSE),"Various")</f>
        <v>LNG / Ammonia system</v>
      </c>
      <c r="C1085" s="11" t="s">
        <v>2458</v>
      </c>
      <c r="D1085" s="11"/>
      <c r="E1085" s="11"/>
      <c r="F1085" s="24"/>
      <c r="G1085" s="38" t="s">
        <v>2457</v>
      </c>
      <c r="H1085" s="11"/>
      <c r="I1085" s="11"/>
      <c r="J1085" s="11"/>
      <c r="K1085" s="11"/>
      <c r="L1085" s="11"/>
      <c r="M1085" s="11"/>
      <c r="N1085" s="11"/>
      <c r="O1085" s="11"/>
      <c r="P1085" s="11"/>
      <c r="Q1085" s="11"/>
      <c r="R1085" s="11"/>
      <c r="S1085" s="24"/>
      <c r="T1085" s="24"/>
      <c r="U1085" s="24"/>
      <c r="V1085" s="24"/>
    </row>
    <row r="1086" spans="1:22" ht="63.75">
      <c r="A1086" s="10" t="s">
        <v>2413</v>
      </c>
      <c r="B1086" s="11" t="str">
        <f>IFERROR(VLOOKUP(A1086,Systems!A:B,2,FALSE),"Various")</f>
        <v>LNG / Ammonia system</v>
      </c>
      <c r="C1086" s="11" t="s">
        <v>2464</v>
      </c>
      <c r="D1086" s="11"/>
      <c r="E1086" s="11"/>
      <c r="F1086" s="24"/>
      <c r="G1086" s="38" t="s">
        <v>2459</v>
      </c>
      <c r="H1086" s="11"/>
      <c r="I1086" s="11"/>
      <c r="J1086" s="11"/>
      <c r="K1086" s="11"/>
      <c r="L1086" s="11"/>
      <c r="M1086" s="11"/>
      <c r="N1086" s="11"/>
      <c r="O1086" s="11"/>
      <c r="P1086" s="11"/>
      <c r="Q1086" s="11"/>
      <c r="R1086" s="11"/>
      <c r="S1086" s="24"/>
      <c r="T1086" s="24"/>
      <c r="U1086" s="24"/>
      <c r="V1086" s="24"/>
    </row>
    <row r="1087" spans="1:22" ht="63.75">
      <c r="A1087" s="10" t="s">
        <v>2413</v>
      </c>
      <c r="B1087" s="11" t="str">
        <f>IFERROR(VLOOKUP(A1087,Systems!A:B,2,FALSE),"Various")</f>
        <v>LNG / Ammonia system</v>
      </c>
      <c r="C1087" s="11" t="s">
        <v>2461</v>
      </c>
      <c r="D1087" s="11"/>
      <c r="E1087" s="11"/>
      <c r="F1087" s="24"/>
      <c r="G1087" s="38" t="s">
        <v>2460</v>
      </c>
      <c r="H1087" s="11"/>
      <c r="I1087" s="11"/>
      <c r="J1087" s="11"/>
      <c r="K1087" s="11"/>
      <c r="L1087" s="11"/>
      <c r="M1087" s="11"/>
      <c r="N1087" s="11"/>
      <c r="O1087" s="11"/>
      <c r="P1087" s="11"/>
      <c r="Q1087" s="11"/>
      <c r="R1087" s="11"/>
      <c r="S1087" s="24"/>
      <c r="T1087" s="24"/>
      <c r="U1087" s="24"/>
      <c r="V1087" s="24"/>
    </row>
    <row r="1088" spans="1:22" ht="51">
      <c r="A1088" s="10" t="s">
        <v>2413</v>
      </c>
      <c r="B1088" s="11" t="str">
        <f>IFERROR(VLOOKUP(A1088,Systems!A:B,2,FALSE),"Various")</f>
        <v>LNG / Ammonia system</v>
      </c>
      <c r="C1088" s="11" t="s">
        <v>2461</v>
      </c>
      <c r="D1088" s="11"/>
      <c r="E1088" s="11"/>
      <c r="F1088" s="24"/>
      <c r="G1088" s="38" t="s">
        <v>2462</v>
      </c>
      <c r="H1088" s="11"/>
      <c r="I1088" s="11"/>
      <c r="J1088" s="11"/>
      <c r="K1088" s="11"/>
      <c r="L1088" s="11"/>
      <c r="M1088" s="11"/>
      <c r="N1088" s="11"/>
      <c r="O1088" s="11"/>
      <c r="P1088" s="11"/>
      <c r="Q1088" s="11"/>
      <c r="R1088" s="11"/>
      <c r="S1088" s="24"/>
      <c r="T1088" s="24"/>
      <c r="U1088" s="24"/>
      <c r="V1088" s="24"/>
    </row>
    <row r="1089" spans="1:22" ht="38.25">
      <c r="A1089" s="10" t="s">
        <v>2413</v>
      </c>
      <c r="B1089" s="11" t="str">
        <f>IFERROR(VLOOKUP(A1089,Systems!A:B,2,FALSE),"Various")</f>
        <v>LNG / Ammonia system</v>
      </c>
      <c r="C1089" s="11" t="s">
        <v>2464</v>
      </c>
      <c r="D1089" s="11"/>
      <c r="E1089" s="11"/>
      <c r="F1089" s="24"/>
      <c r="G1089" s="38" t="s">
        <v>2463</v>
      </c>
      <c r="H1089" s="11"/>
      <c r="I1089" s="11"/>
      <c r="J1089" s="11"/>
      <c r="K1089" s="11"/>
      <c r="L1089" s="11"/>
      <c r="M1089" s="11"/>
      <c r="N1089" s="11"/>
      <c r="O1089" s="11"/>
      <c r="P1089" s="11"/>
      <c r="Q1089" s="11"/>
      <c r="R1089" s="11"/>
      <c r="S1089" s="24"/>
      <c r="T1089" s="24"/>
      <c r="U1089" s="24"/>
      <c r="V1089" s="24"/>
    </row>
    <row r="1090" spans="1:22" ht="38.25">
      <c r="A1090" s="10" t="s">
        <v>2413</v>
      </c>
      <c r="B1090" s="11" t="str">
        <f>IFERROR(VLOOKUP(A1090,Systems!A:B,2,FALSE),"Various")</f>
        <v>LNG / Ammonia system</v>
      </c>
      <c r="C1090" s="11" t="s">
        <v>2461</v>
      </c>
      <c r="D1090" s="11"/>
      <c r="E1090" s="11"/>
      <c r="F1090" s="24"/>
      <c r="G1090" s="38" t="s">
        <v>2465</v>
      </c>
      <c r="H1090" s="11"/>
      <c r="I1090" s="11"/>
      <c r="J1090" s="11"/>
      <c r="K1090" s="11"/>
      <c r="L1090" s="11"/>
      <c r="M1090" s="11"/>
      <c r="N1090" s="11"/>
      <c r="O1090" s="11"/>
      <c r="P1090" s="11"/>
      <c r="Q1090" s="11"/>
      <c r="R1090" s="11"/>
      <c r="S1090" s="24"/>
      <c r="T1090" s="24"/>
      <c r="U1090" s="24"/>
      <c r="V1090" s="24"/>
    </row>
    <row r="1091" spans="1:22" ht="102">
      <c r="A1091" s="10" t="s">
        <v>2413</v>
      </c>
      <c r="B1091" s="11" t="str">
        <f>IFERROR(VLOOKUP(A1091,Systems!A:B,2,FALSE),"Various")</f>
        <v>LNG / Ammonia system</v>
      </c>
      <c r="C1091" s="11" t="s">
        <v>2467</v>
      </c>
      <c r="D1091" s="11"/>
      <c r="E1091" s="11"/>
      <c r="F1091" s="24"/>
      <c r="G1091" s="38" t="s">
        <v>2466</v>
      </c>
      <c r="H1091" s="11"/>
      <c r="I1091" s="11"/>
      <c r="J1091" s="11"/>
      <c r="K1091" s="11"/>
      <c r="L1091" s="11"/>
      <c r="M1091" s="11"/>
      <c r="N1091" s="11"/>
      <c r="O1091" s="11"/>
      <c r="P1091" s="11"/>
      <c r="Q1091" s="11"/>
      <c r="R1091" s="11"/>
      <c r="S1091" s="24"/>
      <c r="T1091" s="24"/>
      <c r="U1091" s="24"/>
      <c r="V1091" s="24"/>
    </row>
    <row r="1092" spans="1:22" ht="89.25">
      <c r="A1092" s="10" t="s">
        <v>2469</v>
      </c>
      <c r="B1092" s="11" t="str">
        <f>IFERROR(VLOOKUP(A1092,Systems!A:B,2,FALSE),"Various")</f>
        <v>Various</v>
      </c>
      <c r="C1092" s="11" t="s">
        <v>2470</v>
      </c>
      <c r="D1092" s="11"/>
      <c r="E1092" s="11"/>
      <c r="F1092" s="24"/>
      <c r="G1092" s="38" t="s">
        <v>2468</v>
      </c>
      <c r="H1092" s="11"/>
      <c r="I1092" s="11"/>
      <c r="J1092" s="11"/>
      <c r="K1092" s="11"/>
      <c r="L1092" s="11"/>
      <c r="M1092" s="11"/>
      <c r="N1092" s="11"/>
      <c r="O1092" s="11"/>
      <c r="P1092" s="11"/>
      <c r="Q1092" s="11"/>
      <c r="R1092" s="11"/>
      <c r="S1092" s="24"/>
      <c r="T1092" s="24"/>
      <c r="U1092" s="24"/>
      <c r="V1092" s="24"/>
    </row>
    <row r="1093" spans="1:22" ht="76.5">
      <c r="A1093" s="10" t="s">
        <v>2413</v>
      </c>
      <c r="B1093" s="11" t="str">
        <f>IFERROR(VLOOKUP(A1093,Systems!A:B,2,FALSE),"Various")</f>
        <v>LNG / Ammonia system</v>
      </c>
      <c r="C1093" s="11" t="s">
        <v>2475</v>
      </c>
      <c r="D1093" s="11"/>
      <c r="E1093" s="11"/>
      <c r="F1093" s="24"/>
      <c r="G1093" s="38" t="s">
        <v>2471</v>
      </c>
      <c r="H1093" s="11"/>
      <c r="I1093" s="11"/>
      <c r="J1093" s="11"/>
      <c r="K1093" s="11"/>
      <c r="L1093" s="11"/>
      <c r="M1093" s="11"/>
      <c r="N1093" s="11"/>
      <c r="O1093" s="11"/>
      <c r="P1093" s="11"/>
      <c r="Q1093" s="11"/>
      <c r="R1093" s="11"/>
      <c r="S1093" s="24"/>
      <c r="T1093" s="24"/>
      <c r="U1093" s="24"/>
      <c r="V1093" s="24"/>
    </row>
    <row r="1094" spans="1:22" ht="51">
      <c r="A1094" s="10" t="s">
        <v>2413</v>
      </c>
      <c r="B1094" s="11" t="str">
        <f>IFERROR(VLOOKUP(A1094,Systems!A:B,2,FALSE),"Various")</f>
        <v>LNG / Ammonia system</v>
      </c>
      <c r="C1094" s="11" t="s">
        <v>2475</v>
      </c>
      <c r="D1094" s="11"/>
      <c r="E1094" s="11"/>
      <c r="F1094" s="24"/>
      <c r="G1094" s="38" t="s">
        <v>2473</v>
      </c>
      <c r="H1094" s="11"/>
      <c r="I1094" s="11"/>
      <c r="J1094" s="11"/>
      <c r="K1094" s="11"/>
      <c r="L1094" s="11"/>
      <c r="M1094" s="11"/>
      <c r="N1094" s="11"/>
      <c r="O1094" s="11"/>
      <c r="P1094" s="11"/>
      <c r="Q1094" s="11"/>
      <c r="R1094" s="11"/>
      <c r="S1094" s="24"/>
      <c r="T1094" s="24"/>
      <c r="U1094" s="24"/>
      <c r="V1094" s="24"/>
    </row>
    <row r="1095" spans="1:22" ht="114.75">
      <c r="A1095" s="10" t="s">
        <v>2413</v>
      </c>
      <c r="B1095" s="11" t="str">
        <f>IFERROR(VLOOKUP(A1095,Systems!A:B,2,FALSE),"Various")</f>
        <v>LNG / Ammonia system</v>
      </c>
      <c r="C1095" s="11" t="s">
        <v>2475</v>
      </c>
      <c r="D1095" s="11"/>
      <c r="E1095" s="11"/>
      <c r="F1095" s="24"/>
      <c r="G1095" s="38" t="s">
        <v>2474</v>
      </c>
      <c r="H1095" s="11"/>
      <c r="I1095" s="11"/>
      <c r="J1095" s="11"/>
      <c r="K1095" s="11"/>
      <c r="L1095" s="11"/>
      <c r="M1095" s="11"/>
      <c r="N1095" s="11"/>
      <c r="O1095" s="11"/>
      <c r="P1095" s="11"/>
      <c r="Q1095" s="11"/>
      <c r="R1095" s="11"/>
      <c r="S1095" s="24"/>
      <c r="T1095" s="24"/>
      <c r="U1095" s="24"/>
      <c r="V1095" s="24"/>
    </row>
    <row r="1096" spans="1:22" ht="63.75">
      <c r="A1096" s="10" t="s">
        <v>2413</v>
      </c>
      <c r="B1096" s="11" t="str">
        <f>IFERROR(VLOOKUP(A1096,Systems!A:B,2,FALSE),"Various")</f>
        <v>LNG / Ammonia system</v>
      </c>
      <c r="C1096" s="11" t="s">
        <v>2475</v>
      </c>
      <c r="D1096" s="11"/>
      <c r="E1096" s="11"/>
      <c r="F1096" s="24"/>
      <c r="G1096" s="38" t="s">
        <v>2477</v>
      </c>
      <c r="H1096" s="11"/>
      <c r="I1096" s="11"/>
      <c r="J1096" s="11"/>
      <c r="K1096" s="11"/>
      <c r="L1096" s="11"/>
      <c r="M1096" s="11"/>
      <c r="N1096" s="11"/>
      <c r="O1096" s="11"/>
      <c r="P1096" s="11"/>
      <c r="Q1096" s="11"/>
      <c r="R1096" s="11"/>
      <c r="S1096" s="24"/>
      <c r="T1096" s="24"/>
      <c r="U1096" s="24"/>
      <c r="V1096" s="24"/>
    </row>
    <row r="1097" spans="1:22" ht="38.25">
      <c r="A1097" s="10" t="s">
        <v>2413</v>
      </c>
      <c r="B1097" s="11" t="str">
        <f>IFERROR(VLOOKUP(A1097,Systems!A:B,2,FALSE),"Various")</f>
        <v>LNG / Ammonia system</v>
      </c>
      <c r="C1097" s="11" t="s">
        <v>2475</v>
      </c>
      <c r="D1097" s="11"/>
      <c r="E1097" s="11"/>
      <c r="F1097" s="24"/>
      <c r="G1097" s="38" t="s">
        <v>2478</v>
      </c>
      <c r="H1097" s="11"/>
      <c r="I1097" s="11"/>
      <c r="J1097" s="11"/>
      <c r="K1097" s="11"/>
      <c r="L1097" s="11"/>
      <c r="M1097" s="11"/>
      <c r="N1097" s="11"/>
      <c r="O1097" s="11"/>
      <c r="P1097" s="11"/>
      <c r="Q1097" s="11"/>
      <c r="R1097" s="11"/>
      <c r="S1097" s="24"/>
      <c r="T1097" s="24"/>
      <c r="U1097" s="24"/>
      <c r="V1097" s="24"/>
    </row>
    <row r="1098" spans="1:22" ht="102">
      <c r="A1098" s="10" t="s">
        <v>2413</v>
      </c>
      <c r="B1098" s="11" t="str">
        <f>IFERROR(VLOOKUP(A1098,Systems!A:B,2,FALSE),"Various")</f>
        <v>LNG / Ammonia system</v>
      </c>
      <c r="C1098" s="11" t="s">
        <v>2479</v>
      </c>
      <c r="D1098" s="11"/>
      <c r="E1098" s="11"/>
      <c r="F1098" s="24"/>
      <c r="G1098" s="38" t="s">
        <v>2480</v>
      </c>
      <c r="H1098" s="11"/>
      <c r="I1098" s="11"/>
      <c r="J1098" s="11"/>
      <c r="K1098" s="11"/>
      <c r="L1098" s="11"/>
      <c r="M1098" s="11"/>
      <c r="N1098" s="11"/>
      <c r="O1098" s="11"/>
      <c r="P1098" s="11"/>
      <c r="Q1098" s="11"/>
      <c r="R1098" s="11"/>
      <c r="S1098" s="24"/>
      <c r="T1098" s="24"/>
      <c r="U1098" s="24"/>
      <c r="V1098" s="24"/>
    </row>
    <row r="1099" spans="1:22" ht="89.25">
      <c r="A1099" s="10" t="s">
        <v>2413</v>
      </c>
      <c r="B1099" s="11" t="str">
        <f>IFERROR(VLOOKUP(A1099,Systems!A:B,2,FALSE),"Various")</f>
        <v>LNG / Ammonia system</v>
      </c>
      <c r="C1099" s="11" t="s">
        <v>2479</v>
      </c>
      <c r="D1099" s="11"/>
      <c r="E1099" s="11"/>
      <c r="F1099" s="24"/>
      <c r="G1099" s="38" t="s">
        <v>2481</v>
      </c>
      <c r="H1099" s="11"/>
      <c r="I1099" s="11"/>
      <c r="J1099" s="11"/>
      <c r="K1099" s="11"/>
      <c r="L1099" s="11"/>
      <c r="M1099" s="11"/>
      <c r="N1099" s="11"/>
      <c r="O1099" s="11"/>
      <c r="P1099" s="11"/>
      <c r="Q1099" s="11"/>
      <c r="R1099" s="11"/>
      <c r="S1099" s="24"/>
      <c r="T1099" s="24"/>
      <c r="U1099" s="24"/>
      <c r="V1099" s="24"/>
    </row>
    <row r="1100" spans="1:22" ht="51">
      <c r="A1100" s="10" t="s">
        <v>2413</v>
      </c>
      <c r="B1100" s="11" t="str">
        <f>IFERROR(VLOOKUP(A1100,Systems!A:B,2,FALSE),"Various")</f>
        <v>LNG / Ammonia system</v>
      </c>
      <c r="C1100" s="11" t="s">
        <v>2479</v>
      </c>
      <c r="D1100" s="11"/>
      <c r="E1100" s="11"/>
      <c r="F1100" s="24"/>
      <c r="G1100" s="38" t="s">
        <v>2482</v>
      </c>
      <c r="H1100" s="11"/>
      <c r="I1100" s="11"/>
      <c r="J1100" s="11"/>
      <c r="K1100" s="11"/>
      <c r="L1100" s="11"/>
      <c r="M1100" s="11"/>
      <c r="N1100" s="11"/>
      <c r="O1100" s="11"/>
      <c r="P1100" s="11"/>
      <c r="Q1100" s="11"/>
      <c r="R1100" s="11"/>
      <c r="S1100" s="24"/>
      <c r="T1100" s="24"/>
      <c r="U1100" s="24"/>
      <c r="V1100" s="24"/>
    </row>
    <row r="1101" spans="1:22" ht="51">
      <c r="A1101" s="10" t="s">
        <v>2413</v>
      </c>
      <c r="B1101" s="11" t="str">
        <f>IFERROR(VLOOKUP(A1101,Systems!A:B,2,FALSE),"Various")</f>
        <v>LNG / Ammonia system</v>
      </c>
      <c r="C1101" s="11" t="s">
        <v>2485</v>
      </c>
      <c r="D1101" s="11"/>
      <c r="E1101" s="11"/>
      <c r="F1101" s="24"/>
      <c r="G1101" s="38" t="s">
        <v>2483</v>
      </c>
      <c r="H1101" s="11"/>
      <c r="I1101" s="11"/>
      <c r="J1101" s="11"/>
      <c r="K1101" s="11"/>
      <c r="L1101" s="11"/>
      <c r="M1101" s="11"/>
      <c r="N1101" s="11"/>
      <c r="O1101" s="11"/>
      <c r="P1101" s="11"/>
      <c r="Q1101" s="11"/>
      <c r="R1101" s="11"/>
      <c r="S1101" s="24"/>
      <c r="T1101" s="24"/>
      <c r="U1101" s="24"/>
      <c r="V1101" s="24"/>
    </row>
    <row r="1102" spans="1:22" ht="127.5">
      <c r="A1102" s="10" t="s">
        <v>2413</v>
      </c>
      <c r="B1102" s="11" t="str">
        <f>IFERROR(VLOOKUP(A1102,Systems!A:B,2,FALSE),"Various")</f>
        <v>LNG / Ammonia system</v>
      </c>
      <c r="C1102" s="11" t="s">
        <v>2485</v>
      </c>
      <c r="D1102" s="11"/>
      <c r="E1102" s="11"/>
      <c r="F1102" s="24"/>
      <c r="G1102" s="38" t="s">
        <v>2484</v>
      </c>
      <c r="H1102" s="11"/>
      <c r="I1102" s="11"/>
      <c r="J1102" s="11"/>
      <c r="K1102" s="11"/>
      <c r="L1102" s="11"/>
      <c r="M1102" s="11"/>
      <c r="N1102" s="11"/>
      <c r="O1102" s="11"/>
      <c r="P1102" s="11"/>
      <c r="Q1102" s="11"/>
      <c r="R1102" s="11"/>
      <c r="S1102" s="24"/>
      <c r="T1102" s="24"/>
      <c r="U1102" s="24"/>
      <c r="V1102" s="24"/>
    </row>
    <row r="1103" spans="1:22" ht="76.5">
      <c r="A1103" s="10" t="s">
        <v>2413</v>
      </c>
      <c r="B1103" s="11" t="str">
        <f>IFERROR(VLOOKUP(A1103,Systems!A:B,2,FALSE),"Various")</f>
        <v>LNG / Ammonia system</v>
      </c>
      <c r="C1103" s="11" t="s">
        <v>2487</v>
      </c>
      <c r="D1103" s="11"/>
      <c r="E1103" s="11"/>
      <c r="F1103" s="24"/>
      <c r="G1103" s="38" t="s">
        <v>2486</v>
      </c>
      <c r="H1103" s="11"/>
      <c r="I1103" s="11"/>
      <c r="J1103" s="11"/>
      <c r="K1103" s="11"/>
      <c r="L1103" s="11"/>
      <c r="M1103" s="11"/>
      <c r="N1103" s="11"/>
      <c r="O1103" s="11"/>
      <c r="P1103" s="11"/>
      <c r="Q1103" s="11"/>
      <c r="R1103" s="11"/>
      <c r="S1103" s="24"/>
      <c r="T1103" s="24"/>
      <c r="U1103" s="24"/>
      <c r="V1103" s="24"/>
    </row>
    <row r="1104" spans="1:22" ht="38.25">
      <c r="A1104" s="10" t="s">
        <v>2413</v>
      </c>
      <c r="B1104" s="11" t="str">
        <f>IFERROR(VLOOKUP(A1104,Systems!A:B,2,FALSE),"Various")</f>
        <v>LNG / Ammonia system</v>
      </c>
      <c r="C1104" s="11" t="s">
        <v>2487</v>
      </c>
      <c r="D1104" s="11"/>
      <c r="E1104" s="11"/>
      <c r="F1104" s="24"/>
      <c r="G1104" s="38" t="s">
        <v>2488</v>
      </c>
      <c r="H1104" s="11"/>
      <c r="I1104" s="11"/>
      <c r="J1104" s="11"/>
      <c r="K1104" s="11"/>
      <c r="L1104" s="11"/>
      <c r="M1104" s="11"/>
      <c r="N1104" s="11"/>
      <c r="O1104" s="11"/>
      <c r="P1104" s="11"/>
      <c r="Q1104" s="11"/>
      <c r="R1104" s="11"/>
      <c r="S1104" s="24"/>
      <c r="T1104" s="24"/>
      <c r="U1104" s="24"/>
      <c r="V1104" s="24"/>
    </row>
    <row r="1105" spans="1:22" ht="89.25">
      <c r="A1105" s="10" t="s">
        <v>2413</v>
      </c>
      <c r="B1105" s="11" t="str">
        <f>IFERROR(VLOOKUP(A1105,Systems!A:B,2,FALSE),"Various")</f>
        <v>LNG / Ammonia system</v>
      </c>
      <c r="C1105" s="11" t="s">
        <v>2490</v>
      </c>
      <c r="D1105" s="11"/>
      <c r="E1105" s="11"/>
      <c r="F1105" s="24"/>
      <c r="G1105" s="38" t="s">
        <v>2489</v>
      </c>
      <c r="H1105" s="11"/>
      <c r="I1105" s="11"/>
      <c r="J1105" s="11"/>
      <c r="K1105" s="11"/>
      <c r="L1105" s="11"/>
      <c r="M1105" s="11"/>
      <c r="N1105" s="11"/>
      <c r="O1105" s="11"/>
      <c r="P1105" s="11"/>
      <c r="Q1105" s="11"/>
      <c r="R1105" s="11"/>
      <c r="S1105" s="24"/>
      <c r="T1105" s="24"/>
      <c r="U1105" s="24"/>
      <c r="V1105" s="24"/>
    </row>
    <row r="1106" spans="1:22" ht="51">
      <c r="A1106" s="10" t="s">
        <v>2413</v>
      </c>
      <c r="B1106" s="11" t="str">
        <f>IFERROR(VLOOKUP(A1106,Systems!A:B,2,FALSE),"Various")</f>
        <v>LNG / Ammonia system</v>
      </c>
      <c r="C1106" s="11" t="s">
        <v>2490</v>
      </c>
      <c r="D1106" s="11"/>
      <c r="E1106" s="11"/>
      <c r="F1106" s="24"/>
      <c r="G1106" s="38" t="s">
        <v>2491</v>
      </c>
      <c r="H1106" s="11"/>
      <c r="I1106" s="11"/>
      <c r="J1106" s="11"/>
      <c r="K1106" s="11"/>
      <c r="L1106" s="11"/>
      <c r="M1106" s="11"/>
      <c r="N1106" s="11"/>
      <c r="O1106" s="11"/>
      <c r="P1106" s="11"/>
      <c r="Q1106" s="11"/>
      <c r="R1106" s="11"/>
      <c r="S1106" s="24"/>
      <c r="T1106" s="24"/>
      <c r="U1106" s="24"/>
      <c r="V1106" s="24"/>
    </row>
    <row r="1107" spans="1:22" ht="89.25">
      <c r="A1107" s="10" t="s">
        <v>2413</v>
      </c>
      <c r="B1107" s="11" t="str">
        <f>IFERROR(VLOOKUP(A1107,Systems!A:B,2,FALSE),"Various")</f>
        <v>LNG / Ammonia system</v>
      </c>
      <c r="C1107" s="11" t="s">
        <v>2493</v>
      </c>
      <c r="D1107" s="11"/>
      <c r="E1107" s="11"/>
      <c r="F1107" s="24"/>
      <c r="G1107" s="38" t="s">
        <v>2492</v>
      </c>
      <c r="H1107" s="11"/>
      <c r="I1107" s="11"/>
      <c r="J1107" s="11"/>
      <c r="K1107" s="11"/>
      <c r="L1107" s="11"/>
      <c r="M1107" s="11"/>
      <c r="N1107" s="11"/>
      <c r="O1107" s="11"/>
      <c r="P1107" s="11"/>
      <c r="Q1107" s="11"/>
      <c r="R1107" s="11"/>
      <c r="S1107" s="24"/>
      <c r="T1107" s="24"/>
      <c r="U1107" s="24"/>
      <c r="V1107" s="24"/>
    </row>
    <row r="1108" spans="1:22" ht="102">
      <c r="A1108" s="10" t="s">
        <v>2413</v>
      </c>
      <c r="B1108" s="11" t="str">
        <f>IFERROR(VLOOKUP(A1108,Systems!A:B,2,FALSE),"Various")</f>
        <v>LNG / Ammonia system</v>
      </c>
      <c r="C1108" s="11" t="s">
        <v>2495</v>
      </c>
      <c r="D1108" s="11"/>
      <c r="E1108" s="11"/>
      <c r="F1108" s="24"/>
      <c r="G1108" s="38" t="s">
        <v>2494</v>
      </c>
      <c r="H1108" s="11"/>
      <c r="I1108" s="11"/>
      <c r="J1108" s="11"/>
      <c r="K1108" s="11"/>
      <c r="L1108" s="11"/>
      <c r="M1108" s="11"/>
      <c r="N1108" s="11"/>
      <c r="O1108" s="11"/>
      <c r="P1108" s="11"/>
      <c r="Q1108" s="11"/>
      <c r="R1108" s="11"/>
      <c r="S1108" s="24"/>
      <c r="T1108" s="24"/>
      <c r="U1108" s="24"/>
      <c r="V1108" s="24"/>
    </row>
    <row r="1109" spans="1:22" ht="38.25">
      <c r="A1109" s="10" t="s">
        <v>2413</v>
      </c>
      <c r="B1109" s="11" t="str">
        <f>IFERROR(VLOOKUP(A1109,Systems!A:B,2,FALSE),"Various")</f>
        <v>LNG / Ammonia system</v>
      </c>
      <c r="C1109" s="11" t="s">
        <v>2495</v>
      </c>
      <c r="D1109" s="11"/>
      <c r="E1109" s="11"/>
      <c r="F1109" s="24"/>
      <c r="G1109" s="38" t="s">
        <v>2496</v>
      </c>
      <c r="H1109" s="11"/>
      <c r="I1109" s="11"/>
      <c r="J1109" s="11"/>
      <c r="K1109" s="11"/>
      <c r="L1109" s="11"/>
      <c r="M1109" s="11"/>
      <c r="N1109" s="11"/>
      <c r="O1109" s="11"/>
      <c r="P1109" s="11"/>
      <c r="Q1109" s="11"/>
      <c r="R1109" s="11"/>
      <c r="S1109" s="24"/>
      <c r="T1109" s="24"/>
      <c r="U1109" s="24"/>
      <c r="V1109" s="24"/>
    </row>
    <row r="1110" spans="1:22" ht="38.25">
      <c r="A1110" s="10" t="s">
        <v>2413</v>
      </c>
      <c r="B1110" s="11" t="str">
        <f>IFERROR(VLOOKUP(A1110,Systems!A:B,2,FALSE),"Various")</f>
        <v>LNG / Ammonia system</v>
      </c>
      <c r="C1110" s="11" t="s">
        <v>2495</v>
      </c>
      <c r="D1110" s="11"/>
      <c r="E1110" s="11"/>
      <c r="F1110" s="24"/>
      <c r="G1110" s="38" t="s">
        <v>2497</v>
      </c>
      <c r="H1110" s="11"/>
      <c r="I1110" s="11"/>
      <c r="J1110" s="11"/>
      <c r="K1110" s="11"/>
      <c r="L1110" s="11"/>
      <c r="M1110" s="11"/>
      <c r="N1110" s="11"/>
      <c r="O1110" s="11"/>
      <c r="P1110" s="11"/>
      <c r="Q1110" s="11"/>
      <c r="R1110" s="11"/>
      <c r="S1110" s="24"/>
      <c r="T1110" s="24"/>
      <c r="U1110" s="24"/>
      <c r="V1110" s="24"/>
    </row>
    <row r="1111" spans="1:22" ht="51">
      <c r="A1111" s="10" t="s">
        <v>2413</v>
      </c>
      <c r="B1111" s="11" t="str">
        <f>IFERROR(VLOOKUP(A1111,Systems!A:B,2,FALSE),"Various")</f>
        <v>LNG / Ammonia system</v>
      </c>
      <c r="C1111" s="11" t="s">
        <v>2509</v>
      </c>
      <c r="D1111" s="11"/>
      <c r="E1111" s="11"/>
      <c r="F1111" s="24"/>
      <c r="G1111" s="38" t="s">
        <v>2498</v>
      </c>
      <c r="H1111" s="11"/>
      <c r="I1111" s="11"/>
      <c r="J1111" s="11"/>
      <c r="K1111" s="11"/>
      <c r="L1111" s="11"/>
      <c r="M1111" s="11"/>
      <c r="N1111" s="11"/>
      <c r="O1111" s="11"/>
      <c r="P1111" s="11"/>
      <c r="Q1111" s="11"/>
      <c r="R1111" s="11"/>
      <c r="S1111" s="24"/>
      <c r="T1111" s="24"/>
      <c r="U1111" s="24"/>
      <c r="V1111" s="24"/>
    </row>
    <row r="1112" spans="1:22" ht="76.5">
      <c r="A1112" s="10" t="s">
        <v>2413</v>
      </c>
      <c r="B1112" s="11" t="str">
        <f>IFERROR(VLOOKUP(A1112,Systems!A:B,2,FALSE),"Various")</f>
        <v>LNG / Ammonia system</v>
      </c>
      <c r="C1112" s="11" t="s">
        <v>2510</v>
      </c>
      <c r="D1112" s="11"/>
      <c r="E1112" s="11"/>
      <c r="F1112" s="24"/>
      <c r="G1112" s="38" t="s">
        <v>2499</v>
      </c>
      <c r="H1112" s="11"/>
      <c r="I1112" s="11"/>
      <c r="J1112" s="11"/>
      <c r="K1112" s="11"/>
      <c r="L1112" s="11"/>
      <c r="M1112" s="11"/>
      <c r="N1112" s="11"/>
      <c r="O1112" s="11"/>
      <c r="P1112" s="11"/>
      <c r="Q1112" s="11"/>
      <c r="R1112" s="11"/>
      <c r="S1112" s="24"/>
      <c r="T1112" s="24"/>
      <c r="U1112" s="24"/>
      <c r="V1112" s="24"/>
    </row>
    <row r="1113" spans="1:22" ht="178.5">
      <c r="A1113" s="10" t="s">
        <v>2413</v>
      </c>
      <c r="B1113" s="11" t="str">
        <f>IFERROR(VLOOKUP(A1113,Systems!A:B,2,FALSE),"Various")</f>
        <v>LNG / Ammonia system</v>
      </c>
      <c r="C1113" s="11" t="s">
        <v>2511</v>
      </c>
      <c r="D1113" s="11"/>
      <c r="E1113" s="11"/>
      <c r="F1113" s="24"/>
      <c r="G1113" s="38" t="s">
        <v>2500</v>
      </c>
      <c r="H1113" s="11"/>
      <c r="I1113" s="11"/>
      <c r="J1113" s="11"/>
      <c r="K1113" s="11"/>
      <c r="L1113" s="11"/>
      <c r="M1113" s="11"/>
      <c r="N1113" s="11"/>
      <c r="O1113" s="11"/>
      <c r="P1113" s="11"/>
      <c r="Q1113" s="11"/>
      <c r="R1113" s="11"/>
      <c r="S1113" s="24"/>
      <c r="T1113" s="24"/>
      <c r="U1113" s="24"/>
      <c r="V1113" s="24"/>
    </row>
    <row r="1114" spans="1:22" ht="127.5">
      <c r="A1114" s="10" t="s">
        <v>2413</v>
      </c>
      <c r="B1114" s="11" t="str">
        <f>IFERROR(VLOOKUP(A1114,Systems!A:B,2,FALSE),"Various")</f>
        <v>LNG / Ammonia system</v>
      </c>
      <c r="C1114" s="11" t="s">
        <v>2512</v>
      </c>
      <c r="D1114" s="11"/>
      <c r="E1114" s="11"/>
      <c r="F1114" s="24"/>
      <c r="G1114" s="38" t="s">
        <v>2501</v>
      </c>
      <c r="H1114" s="11"/>
      <c r="I1114" s="11"/>
      <c r="J1114" s="11"/>
      <c r="K1114" s="11"/>
      <c r="L1114" s="11"/>
      <c r="M1114" s="11"/>
      <c r="N1114" s="11"/>
      <c r="O1114" s="11"/>
      <c r="P1114" s="11"/>
      <c r="Q1114" s="11"/>
      <c r="R1114" s="11"/>
      <c r="S1114" s="24"/>
      <c r="T1114" s="24"/>
      <c r="U1114" s="24"/>
      <c r="V1114" s="24"/>
    </row>
    <row r="1115" spans="1:22" ht="153">
      <c r="A1115" s="10" t="s">
        <v>2413</v>
      </c>
      <c r="B1115" s="11" t="str">
        <f>IFERROR(VLOOKUP(A1115,Systems!A:B,2,FALSE),"Various")</f>
        <v>LNG / Ammonia system</v>
      </c>
      <c r="C1115" s="11" t="s">
        <v>2513</v>
      </c>
      <c r="D1115" s="11"/>
      <c r="E1115" s="11"/>
      <c r="F1115" s="24"/>
      <c r="G1115" s="38" t="s">
        <v>2502</v>
      </c>
      <c r="H1115" s="11"/>
      <c r="I1115" s="11"/>
      <c r="J1115" s="11"/>
      <c r="K1115" s="11"/>
      <c r="L1115" s="11"/>
      <c r="M1115" s="11"/>
      <c r="N1115" s="11"/>
      <c r="O1115" s="11"/>
      <c r="P1115" s="11"/>
      <c r="Q1115" s="11"/>
      <c r="R1115" s="11"/>
      <c r="S1115" s="24"/>
      <c r="T1115" s="24"/>
      <c r="U1115" s="24"/>
      <c r="V1115" s="24"/>
    </row>
    <row r="1116" spans="1:22" ht="63.75">
      <c r="A1116" s="10" t="s">
        <v>2413</v>
      </c>
      <c r="B1116" s="11" t="str">
        <f>IFERROR(VLOOKUP(A1116,Systems!A:B,2,FALSE),"Various")</f>
        <v>LNG / Ammonia system</v>
      </c>
      <c r="C1116" s="11" t="s">
        <v>2514</v>
      </c>
      <c r="D1116" s="11"/>
      <c r="E1116" s="11"/>
      <c r="F1116" s="24"/>
      <c r="G1116" s="38" t="s">
        <v>2503</v>
      </c>
      <c r="H1116" s="11"/>
      <c r="I1116" s="11"/>
      <c r="J1116" s="11"/>
      <c r="K1116" s="11"/>
      <c r="L1116" s="11"/>
      <c r="M1116" s="11"/>
      <c r="N1116" s="11"/>
      <c r="O1116" s="11"/>
      <c r="P1116" s="11"/>
      <c r="Q1116" s="11"/>
      <c r="R1116" s="11"/>
      <c r="S1116" s="24"/>
      <c r="T1116" s="24"/>
      <c r="U1116" s="24"/>
      <c r="V1116" s="24"/>
    </row>
    <row r="1117" spans="1:22" ht="63.75">
      <c r="A1117" s="10" t="s">
        <v>2413</v>
      </c>
      <c r="B1117" s="11" t="str">
        <f>IFERROR(VLOOKUP(A1117,Systems!A:B,2,FALSE),"Various")</f>
        <v>LNG / Ammonia system</v>
      </c>
      <c r="C1117" s="11" t="s">
        <v>2515</v>
      </c>
      <c r="D1117" s="11"/>
      <c r="E1117" s="11"/>
      <c r="F1117" s="24"/>
      <c r="G1117" s="38" t="s">
        <v>2504</v>
      </c>
      <c r="H1117" s="11"/>
      <c r="I1117" s="11"/>
      <c r="J1117" s="11"/>
      <c r="K1117" s="11"/>
      <c r="L1117" s="11"/>
      <c r="M1117" s="11"/>
      <c r="N1117" s="11"/>
      <c r="O1117" s="11"/>
      <c r="P1117" s="11"/>
      <c r="Q1117" s="11"/>
      <c r="R1117" s="11"/>
      <c r="S1117" s="24"/>
      <c r="T1117" s="24"/>
      <c r="U1117" s="24"/>
      <c r="V1117" s="24"/>
    </row>
    <row r="1118" spans="1:22" ht="51">
      <c r="A1118" s="10" t="s">
        <v>2413</v>
      </c>
      <c r="B1118" s="11" t="str">
        <f>IFERROR(VLOOKUP(A1118,Systems!A:B,2,FALSE),"Various")</f>
        <v>LNG / Ammonia system</v>
      </c>
      <c r="C1118" s="11" t="s">
        <v>2517</v>
      </c>
      <c r="D1118" s="11"/>
      <c r="E1118" s="11"/>
      <c r="F1118" s="24"/>
      <c r="G1118" s="38" t="s">
        <v>2505</v>
      </c>
      <c r="H1118" s="11"/>
      <c r="I1118" s="11"/>
      <c r="J1118" s="11"/>
      <c r="K1118" s="11"/>
      <c r="L1118" s="11"/>
      <c r="M1118" s="11"/>
      <c r="N1118" s="11"/>
      <c r="O1118" s="11"/>
      <c r="P1118" s="11"/>
      <c r="Q1118" s="11"/>
      <c r="R1118" s="11"/>
      <c r="S1118" s="24"/>
      <c r="T1118" s="24"/>
      <c r="U1118" s="24"/>
      <c r="V1118" s="24"/>
    </row>
    <row r="1119" spans="1:22" ht="38.25">
      <c r="A1119" s="10" t="s">
        <v>2413</v>
      </c>
      <c r="B1119" s="11" t="str">
        <f>IFERROR(VLOOKUP(A1119,Systems!A:B,2,FALSE),"Various")</f>
        <v>LNG / Ammonia system</v>
      </c>
      <c r="C1119" s="11" t="s">
        <v>2518</v>
      </c>
      <c r="D1119" s="11"/>
      <c r="E1119" s="11"/>
      <c r="F1119" s="24"/>
      <c r="G1119" s="38" t="s">
        <v>2506</v>
      </c>
      <c r="H1119" s="11"/>
      <c r="I1119" s="11"/>
      <c r="J1119" s="11"/>
      <c r="K1119" s="11"/>
      <c r="L1119" s="11"/>
      <c r="M1119" s="11"/>
      <c r="N1119" s="11"/>
      <c r="O1119" s="11"/>
      <c r="P1119" s="11"/>
      <c r="Q1119" s="11"/>
      <c r="R1119" s="11"/>
      <c r="S1119" s="24"/>
      <c r="T1119" s="24"/>
      <c r="U1119" s="24"/>
      <c r="V1119" s="24"/>
    </row>
    <row r="1120" spans="1:22" ht="38.25">
      <c r="A1120" s="10" t="s">
        <v>2413</v>
      </c>
      <c r="B1120" s="11" t="str">
        <f>IFERROR(VLOOKUP(A1120,Systems!A:B,2,FALSE),"Various")</f>
        <v>LNG / Ammonia system</v>
      </c>
      <c r="C1120" s="11" t="s">
        <v>2520</v>
      </c>
      <c r="D1120" s="11"/>
      <c r="E1120" s="11"/>
      <c r="F1120" s="24"/>
      <c r="G1120" s="38" t="s">
        <v>2519</v>
      </c>
      <c r="H1120" s="11"/>
      <c r="I1120" s="11"/>
      <c r="J1120" s="11"/>
      <c r="K1120" s="11"/>
      <c r="L1120" s="11"/>
      <c r="M1120" s="11"/>
      <c r="N1120" s="11"/>
      <c r="O1120" s="11"/>
      <c r="P1120" s="11"/>
      <c r="Q1120" s="11"/>
      <c r="R1120" s="11"/>
      <c r="S1120" s="24"/>
      <c r="T1120" s="24"/>
      <c r="U1120" s="24"/>
      <c r="V1120" s="24"/>
    </row>
    <row r="1121" spans="1:22" ht="63.75">
      <c r="A1121" s="10" t="s">
        <v>2413</v>
      </c>
      <c r="B1121" s="11" t="str">
        <f>IFERROR(VLOOKUP(A1121,Systems!A:B,2,FALSE),"Various")</f>
        <v>LNG / Ammonia system</v>
      </c>
      <c r="C1121" s="11" t="s">
        <v>2522</v>
      </c>
      <c r="D1121" s="11"/>
      <c r="E1121" s="11"/>
      <c r="F1121" s="24"/>
      <c r="G1121" s="38" t="s">
        <v>2521</v>
      </c>
      <c r="H1121" s="11"/>
      <c r="I1121" s="11"/>
      <c r="J1121" s="11"/>
      <c r="K1121" s="11"/>
      <c r="L1121" s="11"/>
      <c r="M1121" s="11"/>
      <c r="N1121" s="11"/>
      <c r="O1121" s="11"/>
      <c r="P1121" s="11"/>
      <c r="Q1121" s="11"/>
      <c r="R1121" s="11"/>
      <c r="S1121" s="24"/>
      <c r="T1121" s="24"/>
      <c r="U1121" s="24"/>
      <c r="V1121" s="24"/>
    </row>
    <row r="1122" spans="1:22" ht="25.5">
      <c r="A1122" s="10" t="s">
        <v>2413</v>
      </c>
      <c r="B1122" s="11" t="str">
        <f>IFERROR(VLOOKUP(A1122,Systems!A:B,2,FALSE),"Various")</f>
        <v>LNG / Ammonia system</v>
      </c>
      <c r="C1122" s="11" t="s">
        <v>2523</v>
      </c>
      <c r="D1122" s="11"/>
      <c r="E1122" s="11"/>
      <c r="F1122" s="24"/>
      <c r="G1122" s="38" t="s">
        <v>2434</v>
      </c>
      <c r="H1122" s="11"/>
      <c r="I1122" s="11"/>
      <c r="J1122" s="11"/>
      <c r="K1122" s="11"/>
      <c r="L1122" s="11"/>
      <c r="M1122" s="11"/>
      <c r="N1122" s="11"/>
      <c r="O1122" s="11"/>
      <c r="P1122" s="11"/>
      <c r="Q1122" s="11"/>
      <c r="R1122" s="11"/>
      <c r="S1122" s="24"/>
      <c r="T1122" s="24"/>
      <c r="U1122" s="24"/>
      <c r="V1122" s="24"/>
    </row>
    <row r="1123" spans="1:22" ht="25.5">
      <c r="A1123" s="10" t="s">
        <v>2413</v>
      </c>
      <c r="B1123" s="11" t="str">
        <f>IFERROR(VLOOKUP(A1123,Systems!A:B,2,FALSE),"Various")</f>
        <v>LNG / Ammonia system</v>
      </c>
      <c r="C1123" s="11" t="s">
        <v>2516</v>
      </c>
      <c r="D1123" s="11"/>
      <c r="E1123" s="11"/>
      <c r="F1123" s="24"/>
      <c r="G1123" s="38" t="s">
        <v>2434</v>
      </c>
      <c r="H1123" s="11"/>
      <c r="I1123" s="11"/>
      <c r="J1123" s="11"/>
      <c r="K1123" s="11"/>
      <c r="L1123" s="11"/>
      <c r="M1123" s="11"/>
      <c r="N1123" s="11"/>
      <c r="O1123" s="11"/>
      <c r="P1123" s="11"/>
      <c r="Q1123" s="11"/>
      <c r="R1123" s="11"/>
      <c r="S1123" s="24"/>
      <c r="T1123" s="24"/>
      <c r="U1123" s="24"/>
      <c r="V1123" s="24"/>
    </row>
    <row r="1124" spans="1:22" ht="25.5">
      <c r="A1124" s="10" t="s">
        <v>2413</v>
      </c>
      <c r="B1124" s="11" t="str">
        <f>IFERROR(VLOOKUP(A1124,Systems!A:B,2,FALSE),"Various")</f>
        <v>LNG / Ammonia system</v>
      </c>
      <c r="C1124" s="11"/>
      <c r="D1124" s="11"/>
      <c r="E1124" s="11"/>
      <c r="F1124" s="24"/>
      <c r="G1124" s="38" t="s">
        <v>2434</v>
      </c>
      <c r="H1124" s="11"/>
      <c r="I1124" s="11"/>
      <c r="J1124" s="11"/>
      <c r="K1124" s="11"/>
      <c r="L1124" s="11"/>
      <c r="M1124" s="11"/>
      <c r="N1124" s="11"/>
      <c r="O1124" s="11"/>
      <c r="P1124" s="11"/>
      <c r="Q1124" s="11"/>
      <c r="R1124" s="11"/>
      <c r="S1124" s="24"/>
      <c r="T1124" s="24"/>
      <c r="U1124" s="24"/>
      <c r="V1124" s="24"/>
    </row>
    <row r="1125" spans="1:22" ht="25.5">
      <c r="A1125" s="10" t="s">
        <v>2413</v>
      </c>
      <c r="B1125" s="11" t="str">
        <f>IFERROR(VLOOKUP(A1125,Systems!A:B,2,FALSE),"Various")</f>
        <v>LNG / Ammonia system</v>
      </c>
      <c r="C1125" s="11"/>
      <c r="D1125" s="11"/>
      <c r="E1125" s="11"/>
      <c r="F1125" s="24"/>
      <c r="G1125" s="38" t="s">
        <v>2434</v>
      </c>
      <c r="H1125" s="11"/>
      <c r="I1125" s="11"/>
      <c r="J1125" s="11"/>
      <c r="K1125" s="11"/>
      <c r="L1125" s="11"/>
      <c r="M1125" s="11"/>
      <c r="N1125" s="11"/>
      <c r="O1125" s="11"/>
      <c r="P1125" s="11"/>
      <c r="Q1125" s="11"/>
      <c r="R1125" s="11"/>
      <c r="S1125" s="24"/>
      <c r="T1125" s="24"/>
      <c r="U1125" s="24"/>
      <c r="V1125" s="24"/>
    </row>
    <row r="1126" spans="1:22" ht="25.5">
      <c r="A1126" s="10" t="s">
        <v>2413</v>
      </c>
      <c r="B1126" s="11" t="str">
        <f>IFERROR(VLOOKUP(A1126,Systems!A:B,2,FALSE),"Various")</f>
        <v>LNG / Ammonia system</v>
      </c>
      <c r="C1126" s="11"/>
      <c r="D1126" s="11"/>
      <c r="E1126" s="11"/>
      <c r="F1126" s="24"/>
      <c r="G1126" s="38" t="s">
        <v>2434</v>
      </c>
      <c r="H1126" s="11"/>
      <c r="I1126" s="11"/>
      <c r="J1126" s="11"/>
      <c r="K1126" s="11"/>
      <c r="L1126" s="11"/>
      <c r="M1126" s="11"/>
      <c r="N1126" s="11"/>
      <c r="O1126" s="11"/>
      <c r="P1126" s="11"/>
      <c r="Q1126" s="11"/>
      <c r="R1126" s="11"/>
      <c r="S1126" s="24"/>
      <c r="T1126" s="24"/>
      <c r="U1126" s="24"/>
      <c r="V1126" s="24"/>
    </row>
    <row r="1127" spans="1:22" ht="178.5">
      <c r="A1127" s="10" t="s">
        <v>224</v>
      </c>
      <c r="B1127" s="11" t="str">
        <f>IFERROR(VLOOKUP(A1127,Systems!A:B,2,FALSE),"Various")</f>
        <v>Bilge system</v>
      </c>
      <c r="C1127" s="11" t="s">
        <v>2508</v>
      </c>
      <c r="D1127" s="11"/>
      <c r="E1127" s="11"/>
      <c r="F1127" s="24"/>
      <c r="G1127" s="38" t="s">
        <v>2507</v>
      </c>
      <c r="H1127" s="11"/>
      <c r="I1127" s="11"/>
      <c r="J1127" s="11"/>
      <c r="K1127" s="11"/>
      <c r="L1127" s="11"/>
      <c r="M1127" s="11"/>
      <c r="N1127" s="11"/>
      <c r="O1127" s="11"/>
      <c r="P1127" s="11"/>
      <c r="Q1127" s="11"/>
      <c r="R1127" s="11"/>
      <c r="S1127" s="24"/>
      <c r="T1127" s="24"/>
      <c r="U1127" s="24"/>
      <c r="V1127" s="24"/>
    </row>
    <row r="1128" spans="1:22">
      <c r="A1128" s="10"/>
      <c r="B1128" s="11" t="str">
        <f>IFERROR(VLOOKUP(A1128,Systems!A:B,2,FALSE),"Various")</f>
        <v>Various</v>
      </c>
      <c r="C1128" s="11"/>
      <c r="D1128" s="11"/>
      <c r="E1128" s="11"/>
      <c r="F1128" s="24"/>
      <c r="G1128" s="38"/>
      <c r="H1128" s="11"/>
      <c r="I1128" s="11"/>
      <c r="J1128" s="11"/>
      <c r="K1128" s="11"/>
      <c r="L1128" s="11"/>
      <c r="M1128" s="11"/>
      <c r="N1128" s="11"/>
      <c r="O1128" s="11"/>
      <c r="P1128" s="11"/>
      <c r="Q1128" s="11"/>
      <c r="R1128" s="11"/>
      <c r="S1128" s="24"/>
      <c r="T1128" s="24"/>
      <c r="U1128" s="24"/>
      <c r="V1128" s="24"/>
    </row>
    <row r="1129" spans="1:22">
      <c r="A1129" s="10"/>
      <c r="B1129" s="11" t="str">
        <f>IFERROR(VLOOKUP(A1129,Systems!A:B,2,FALSE),"Various")</f>
        <v>Various</v>
      </c>
      <c r="C1129" s="11"/>
      <c r="D1129" s="11"/>
      <c r="E1129" s="11"/>
      <c r="F1129" s="24"/>
      <c r="G1129" s="38"/>
      <c r="H1129" s="11"/>
      <c r="I1129" s="11"/>
      <c r="J1129" s="11"/>
      <c r="K1129" s="11"/>
      <c r="L1129" s="11"/>
      <c r="M1129" s="11"/>
      <c r="N1129" s="11"/>
      <c r="O1129" s="11"/>
      <c r="P1129" s="11"/>
      <c r="Q1129" s="11"/>
      <c r="R1129" s="11"/>
      <c r="S1129" s="24" t="s">
        <v>30</v>
      </c>
      <c r="T1129" s="24"/>
      <c r="U1129" s="24"/>
      <c r="V1129" s="24"/>
    </row>
    <row r="1130" spans="1:22">
      <c r="A1130" s="10"/>
      <c r="B1130" s="11" t="str">
        <f>IFERROR(VLOOKUP(A1130,Systems!A:B,2,FALSE),"Various")</f>
        <v>Various</v>
      </c>
      <c r="C1130" s="11"/>
      <c r="D1130" s="11"/>
      <c r="E1130" s="11"/>
      <c r="F1130" s="24"/>
      <c r="G1130" s="38"/>
      <c r="H1130" s="11"/>
      <c r="I1130" s="11"/>
      <c r="J1130" s="11"/>
      <c r="K1130" s="11"/>
      <c r="L1130" s="11"/>
      <c r="M1130" s="11"/>
      <c r="N1130" s="11"/>
      <c r="O1130" s="11"/>
      <c r="P1130" s="11"/>
      <c r="Q1130" s="11"/>
      <c r="R1130" s="11"/>
      <c r="S1130" s="24" t="s">
        <v>30</v>
      </c>
      <c r="T1130" s="24"/>
      <c r="U1130" s="24"/>
      <c r="V1130" s="24"/>
    </row>
    <row r="1131" spans="1:22">
      <c r="B1131" s="2" t="str">
        <f>IFERROR(VLOOKUP(A1131,Systems!A:B,2,FALSE),"Various")</f>
        <v>Various</v>
      </c>
    </row>
  </sheetData>
  <autoFilter ref="A1:R1131" xr:uid="{00000000-0009-0000-0000-000002000000}">
    <sortState xmlns:xlrd2="http://schemas.microsoft.com/office/spreadsheetml/2017/richdata2" ref="A394:R462">
      <sortCondition ref="I1:I1131"/>
    </sortState>
  </autoFilter>
  <sortState xmlns:xlrd2="http://schemas.microsoft.com/office/spreadsheetml/2017/richdata2" ref="A1:U1014">
    <sortCondition ref="A1:A1014"/>
    <sortCondition ref="H1:H1014"/>
  </sortState>
  <pageMargins left="0.59055118110236227" right="0.19685039370078741" top="0.98425196850393704" bottom="0.39370078740157483" header="0" footer="0.11811023622047245"/>
  <pageSetup paperSize="9" scale="24" fitToHeight="0" orientation="portrait" verticalDpi="200" r:id="rId1"/>
  <headerFooter>
    <oddHeader>&amp;L&amp;G</oddHeader>
    <oddFooter>&amp;L&amp;F&amp;C&amp;D&amp;R&amp;P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70:AU72"/>
  <sheetViews>
    <sheetView topLeftCell="A71" workbookViewId="0">
      <selection activeCell="E102" sqref="E102"/>
    </sheetView>
  </sheetViews>
  <sheetFormatPr defaultRowHeight="12.75"/>
  <sheetData>
    <row r="70" spans="1:47" s="4" customFormat="1" ht="66.75" customHeight="1">
      <c r="A70" s="46" t="s">
        <v>21</v>
      </c>
      <c r="B70" s="46"/>
      <c r="C70" s="46"/>
      <c r="D70" s="46"/>
      <c r="E70" s="46"/>
      <c r="F70" s="46"/>
      <c r="G70" s="46"/>
    </row>
    <row r="72" spans="1:47" s="3" customFormat="1" ht="15.75">
      <c r="A72" s="45" t="s">
        <v>22</v>
      </c>
      <c r="B72" s="45"/>
      <c r="C72" s="45"/>
      <c r="D72" s="45"/>
      <c r="E72" s="45"/>
      <c r="F72" s="45"/>
      <c r="G72" s="45"/>
      <c r="I72" s="45" t="s">
        <v>23</v>
      </c>
      <c r="J72" s="45"/>
      <c r="K72" s="45"/>
      <c r="L72" s="45"/>
      <c r="M72" s="45"/>
      <c r="N72" s="45"/>
      <c r="O72" s="45"/>
      <c r="P72" s="45"/>
      <c r="R72" s="47" t="s">
        <v>24</v>
      </c>
      <c r="S72" s="48"/>
      <c r="T72" s="48"/>
      <c r="U72" s="48"/>
      <c r="W72" s="45" t="s">
        <v>25</v>
      </c>
      <c r="X72" s="45"/>
      <c r="Y72" s="45"/>
      <c r="Z72" s="45"/>
      <c r="AA72" s="45"/>
      <c r="AB72" s="45"/>
      <c r="AC72" s="45"/>
      <c r="AD72" s="45"/>
      <c r="AE72" s="45"/>
      <c r="AF72" s="45"/>
      <c r="AG72" s="45"/>
      <c r="AH72" s="45"/>
      <c r="AJ72" s="45" t="s">
        <v>26</v>
      </c>
      <c r="AK72" s="45"/>
      <c r="AL72" s="45"/>
      <c r="AM72" s="45"/>
      <c r="AN72" s="45"/>
      <c r="AO72" s="45"/>
      <c r="AP72" s="45"/>
      <c r="AQ72" s="45"/>
      <c r="AR72" s="45"/>
      <c r="AS72" s="45"/>
      <c r="AT72" s="45"/>
      <c r="AU72" s="45"/>
    </row>
  </sheetData>
  <mergeCells count="6">
    <mergeCell ref="AJ72:AU72"/>
    <mergeCell ref="A70:G70"/>
    <mergeCell ref="A72:G72"/>
    <mergeCell ref="I72:P72"/>
    <mergeCell ref="R72:U72"/>
    <mergeCell ref="W72:AH7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3:C7"/>
  <sheetViews>
    <sheetView workbookViewId="0">
      <selection activeCell="C31" sqref="C31"/>
    </sheetView>
  </sheetViews>
  <sheetFormatPr defaultRowHeight="12.75"/>
  <cols>
    <col min="2" max="2" width="33" customWidth="1"/>
    <col min="3" max="3" width="114.7109375" customWidth="1"/>
  </cols>
  <sheetData>
    <row r="3" spans="2:3" s="9" customFormat="1" ht="15">
      <c r="B3" s="9" t="s">
        <v>1</v>
      </c>
      <c r="C3" s="9" t="s">
        <v>2</v>
      </c>
    </row>
    <row r="5" spans="2:3">
      <c r="B5" t="s">
        <v>193</v>
      </c>
      <c r="C5" t="s">
        <v>3</v>
      </c>
    </row>
    <row r="7" spans="2:3">
      <c r="B7" t="s">
        <v>192</v>
      </c>
      <c r="C7" t="s">
        <v>191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124"/>
  <sheetViews>
    <sheetView topLeftCell="A43" workbookViewId="0">
      <selection activeCell="B61" sqref="B61"/>
    </sheetView>
  </sheetViews>
  <sheetFormatPr defaultRowHeight="12.75"/>
  <cols>
    <col min="1" max="1" width="17" style="8" customWidth="1"/>
    <col min="2" max="2" width="34.28515625" customWidth="1"/>
  </cols>
  <sheetData>
    <row r="1" spans="1:2" s="1" customFormat="1">
      <c r="A1" s="7" t="s">
        <v>5</v>
      </c>
      <c r="B1" s="1" t="s">
        <v>6</v>
      </c>
    </row>
    <row r="2" spans="1:2">
      <c r="A2" s="8" t="s">
        <v>148</v>
      </c>
      <c r="B2" t="s">
        <v>184</v>
      </c>
    </row>
    <row r="3" spans="1:2">
      <c r="A3" s="8" t="s">
        <v>157</v>
      </c>
      <c r="B3" t="s">
        <v>4</v>
      </c>
    </row>
    <row r="4" spans="1:2">
      <c r="A4" s="8" t="s">
        <v>202</v>
      </c>
      <c r="B4" t="s">
        <v>1876</v>
      </c>
    </row>
    <row r="5" spans="1:2">
      <c r="A5" s="8" t="s">
        <v>837</v>
      </c>
      <c r="B5" t="s">
        <v>80</v>
      </c>
    </row>
    <row r="6" spans="1:2">
      <c r="A6" s="8" t="s">
        <v>838</v>
      </c>
      <c r="B6" t="s">
        <v>79</v>
      </c>
    </row>
    <row r="7" spans="1:2">
      <c r="A7" s="8" t="s">
        <v>839</v>
      </c>
      <c r="B7" t="s">
        <v>15</v>
      </c>
    </row>
    <row r="8" spans="1:2">
      <c r="A8" s="8" t="s">
        <v>840</v>
      </c>
    </row>
    <row r="9" spans="1:2">
      <c r="A9" s="8" t="s">
        <v>841</v>
      </c>
    </row>
    <row r="10" spans="1:2">
      <c r="A10" s="8" t="s">
        <v>842</v>
      </c>
    </row>
    <row r="11" spans="1:2">
      <c r="A11" s="8" t="s">
        <v>843</v>
      </c>
    </row>
    <row r="12" spans="1:2">
      <c r="A12" s="8" t="s">
        <v>844</v>
      </c>
    </row>
    <row r="13" spans="1:2">
      <c r="A13" s="8" t="s">
        <v>845</v>
      </c>
    </row>
    <row r="14" spans="1:2">
      <c r="A14" s="8" t="s">
        <v>846</v>
      </c>
    </row>
    <row r="15" spans="1:2">
      <c r="A15" s="8" t="s">
        <v>847</v>
      </c>
      <c r="B15" t="s">
        <v>11</v>
      </c>
    </row>
    <row r="16" spans="1:2">
      <c r="A16" s="8" t="s">
        <v>848</v>
      </c>
      <c r="B16" t="s">
        <v>13</v>
      </c>
    </row>
    <row r="17" spans="1:2">
      <c r="A17" s="8" t="s">
        <v>849</v>
      </c>
      <c r="B17" t="s">
        <v>16</v>
      </c>
    </row>
    <row r="18" spans="1:2">
      <c r="A18" s="8" t="s">
        <v>850</v>
      </c>
    </row>
    <row r="19" spans="1:2">
      <c r="A19" s="8" t="s">
        <v>272</v>
      </c>
      <c r="B19" t="s">
        <v>143</v>
      </c>
    </row>
    <row r="20" spans="1:2">
      <c r="A20" s="8" t="s">
        <v>273</v>
      </c>
      <c r="B20" t="s">
        <v>82</v>
      </c>
    </row>
    <row r="21" spans="1:2">
      <c r="A21" s="8" t="s">
        <v>230</v>
      </c>
    </row>
    <row r="22" spans="1:2">
      <c r="A22" s="8" t="s">
        <v>232</v>
      </c>
    </row>
    <row r="23" spans="1:2">
      <c r="A23" s="8" t="s">
        <v>851</v>
      </c>
    </row>
    <row r="24" spans="1:2">
      <c r="A24" s="8" t="s">
        <v>852</v>
      </c>
    </row>
    <row r="25" spans="1:2">
      <c r="A25" s="8" t="s">
        <v>853</v>
      </c>
    </row>
    <row r="26" spans="1:2">
      <c r="A26" s="8" t="s">
        <v>854</v>
      </c>
      <c r="B26" t="s">
        <v>17</v>
      </c>
    </row>
    <row r="27" spans="1:2">
      <c r="A27" s="8" t="s">
        <v>855</v>
      </c>
      <c r="B27" t="s">
        <v>87</v>
      </c>
    </row>
    <row r="28" spans="1:2">
      <c r="A28" s="8" t="s">
        <v>856</v>
      </c>
      <c r="B28" t="s">
        <v>88</v>
      </c>
    </row>
    <row r="29" spans="1:2">
      <c r="A29" s="8" t="s">
        <v>857</v>
      </c>
    </row>
    <row r="30" spans="1:2">
      <c r="A30" s="8" t="s">
        <v>858</v>
      </c>
    </row>
    <row r="31" spans="1:2">
      <c r="A31" s="8" t="s">
        <v>859</v>
      </c>
    </row>
    <row r="32" spans="1:2">
      <c r="A32" s="8" t="s">
        <v>860</v>
      </c>
      <c r="B32" t="s">
        <v>1081</v>
      </c>
    </row>
    <row r="33" spans="1:2">
      <c r="A33" s="8" t="s">
        <v>861</v>
      </c>
    </row>
    <row r="34" spans="1:2">
      <c r="A34" s="8" t="s">
        <v>862</v>
      </c>
    </row>
    <row r="35" spans="1:2">
      <c r="A35" s="8" t="s">
        <v>863</v>
      </c>
    </row>
    <row r="36" spans="1:2">
      <c r="A36" s="8" t="s">
        <v>864</v>
      </c>
    </row>
    <row r="37" spans="1:2">
      <c r="A37" s="8" t="s">
        <v>865</v>
      </c>
    </row>
    <row r="38" spans="1:2">
      <c r="A38" s="8" t="s">
        <v>866</v>
      </c>
    </row>
    <row r="39" spans="1:2">
      <c r="A39" s="8" t="s">
        <v>867</v>
      </c>
    </row>
    <row r="40" spans="1:2">
      <c r="A40" s="8" t="s">
        <v>868</v>
      </c>
    </row>
    <row r="41" spans="1:2">
      <c r="A41" s="8" t="s">
        <v>869</v>
      </c>
    </row>
    <row r="42" spans="1:2">
      <c r="A42" s="8" t="s">
        <v>870</v>
      </c>
    </row>
    <row r="43" spans="1:2">
      <c r="A43" s="8" t="s">
        <v>871</v>
      </c>
    </row>
    <row r="44" spans="1:2">
      <c r="A44" s="8" t="s">
        <v>872</v>
      </c>
    </row>
    <row r="45" spans="1:2">
      <c r="A45" s="8" t="s">
        <v>873</v>
      </c>
    </row>
    <row r="46" spans="1:2">
      <c r="A46" s="8" t="s">
        <v>187</v>
      </c>
      <c r="B46" t="s">
        <v>12</v>
      </c>
    </row>
    <row r="47" spans="1:2">
      <c r="A47" s="8" t="s">
        <v>1899</v>
      </c>
      <c r="B47" t="s">
        <v>1900</v>
      </c>
    </row>
    <row r="48" spans="1:2">
      <c r="A48" s="8" t="s">
        <v>189</v>
      </c>
      <c r="B48" t="s">
        <v>874</v>
      </c>
    </row>
    <row r="49" spans="1:2">
      <c r="A49" s="8" t="s">
        <v>829</v>
      </c>
      <c r="B49" t="s">
        <v>28</v>
      </c>
    </row>
    <row r="50" spans="1:2">
      <c r="A50" s="8" t="s">
        <v>224</v>
      </c>
      <c r="B50" t="s">
        <v>8</v>
      </c>
    </row>
    <row r="51" spans="1:2">
      <c r="A51" s="8" t="s">
        <v>830</v>
      </c>
      <c r="B51" t="s">
        <v>31</v>
      </c>
    </row>
    <row r="52" spans="1:2">
      <c r="A52" s="8" t="s">
        <v>173</v>
      </c>
      <c r="B52" t="s">
        <v>9</v>
      </c>
    </row>
    <row r="53" spans="1:2">
      <c r="A53" s="8" t="s">
        <v>304</v>
      </c>
      <c r="B53" t="s">
        <v>28</v>
      </c>
    </row>
    <row r="54" spans="1:2">
      <c r="A54" s="8" t="s">
        <v>831</v>
      </c>
      <c r="B54" t="s">
        <v>117</v>
      </c>
    </row>
    <row r="55" spans="1:2">
      <c r="A55" s="8" t="s">
        <v>832</v>
      </c>
      <c r="B55" t="s">
        <v>118</v>
      </c>
    </row>
    <row r="56" spans="1:2">
      <c r="A56" s="8" t="s">
        <v>833</v>
      </c>
      <c r="B56" t="s">
        <v>1136</v>
      </c>
    </row>
    <row r="57" spans="1:2">
      <c r="A57" s="8" t="s">
        <v>834</v>
      </c>
      <c r="B57" t="s">
        <v>119</v>
      </c>
    </row>
    <row r="58" spans="1:2">
      <c r="A58" s="8" t="s">
        <v>835</v>
      </c>
      <c r="B58" t="s">
        <v>120</v>
      </c>
    </row>
    <row r="59" spans="1:2">
      <c r="A59" s="8" t="s">
        <v>836</v>
      </c>
      <c r="B59" t="s">
        <v>121</v>
      </c>
    </row>
    <row r="60" spans="1:2">
      <c r="A60" s="8" t="s">
        <v>2413</v>
      </c>
      <c r="B60" t="s">
        <v>2414</v>
      </c>
    </row>
    <row r="61" spans="1:2">
      <c r="A61" s="8" t="s">
        <v>1109</v>
      </c>
      <c r="B61" t="s">
        <v>1112</v>
      </c>
    </row>
    <row r="62" spans="1:2">
      <c r="A62" s="8" t="s">
        <v>568</v>
      </c>
      <c r="B62" t="s">
        <v>89</v>
      </c>
    </row>
    <row r="63" spans="1:2">
      <c r="A63" s="8" t="s">
        <v>569</v>
      </c>
      <c r="B63" t="s">
        <v>107</v>
      </c>
    </row>
    <row r="64" spans="1:2">
      <c r="A64" s="8" t="s">
        <v>570</v>
      </c>
      <c r="B64" t="s">
        <v>122</v>
      </c>
    </row>
    <row r="65" spans="1:2">
      <c r="A65" s="8" t="s">
        <v>571</v>
      </c>
      <c r="B65" t="s">
        <v>123</v>
      </c>
    </row>
    <row r="66" spans="1:2">
      <c r="A66" s="8" t="s">
        <v>572</v>
      </c>
      <c r="B66" t="s">
        <v>108</v>
      </c>
    </row>
    <row r="67" spans="1:2">
      <c r="A67" s="8" t="s">
        <v>573</v>
      </c>
      <c r="B67" t="s">
        <v>109</v>
      </c>
    </row>
    <row r="68" spans="1:2">
      <c r="A68" s="8" t="s">
        <v>574</v>
      </c>
      <c r="B68" t="s">
        <v>110</v>
      </c>
    </row>
    <row r="69" spans="1:2">
      <c r="A69" s="8" t="s">
        <v>155</v>
      </c>
      <c r="B69" t="s">
        <v>32</v>
      </c>
    </row>
    <row r="70" spans="1:2">
      <c r="A70" s="8" t="s">
        <v>575</v>
      </c>
      <c r="B70" t="s">
        <v>136</v>
      </c>
    </row>
    <row r="71" spans="1:2">
      <c r="A71" s="8" t="s">
        <v>576</v>
      </c>
      <c r="B71" t="s">
        <v>135</v>
      </c>
    </row>
    <row r="72" spans="1:2">
      <c r="A72" s="8" t="s">
        <v>577</v>
      </c>
      <c r="B72" t="s">
        <v>112</v>
      </c>
    </row>
    <row r="73" spans="1:2">
      <c r="A73" s="8" t="s">
        <v>242</v>
      </c>
      <c r="B73" t="s">
        <v>1257</v>
      </c>
    </row>
    <row r="74" spans="1:2">
      <c r="A74" s="8" t="s">
        <v>578</v>
      </c>
      <c r="B74" t="s">
        <v>904</v>
      </c>
    </row>
    <row r="75" spans="1:2">
      <c r="A75" s="8" t="s">
        <v>579</v>
      </c>
      <c r="B75" t="s">
        <v>905</v>
      </c>
    </row>
    <row r="76" spans="1:2">
      <c r="A76" s="8" t="s">
        <v>178</v>
      </c>
      <c r="B76" t="s">
        <v>27</v>
      </c>
    </row>
    <row r="77" spans="1:2">
      <c r="A77" s="8" t="s">
        <v>179</v>
      </c>
      <c r="B77" t="s">
        <v>18</v>
      </c>
    </row>
    <row r="78" spans="1:2">
      <c r="A78" s="8" t="s">
        <v>180</v>
      </c>
      <c r="B78" t="s">
        <v>19</v>
      </c>
    </row>
    <row r="79" spans="1:2">
      <c r="A79" s="8" t="s">
        <v>181</v>
      </c>
      <c r="B79" t="s">
        <v>182</v>
      </c>
    </row>
    <row r="80" spans="1:2">
      <c r="A80" s="8" t="s">
        <v>432</v>
      </c>
      <c r="B80" t="s">
        <v>144</v>
      </c>
    </row>
    <row r="81" spans="1:2">
      <c r="A81" s="8" t="s">
        <v>433</v>
      </c>
      <c r="B81" t="s">
        <v>10</v>
      </c>
    </row>
    <row r="82" spans="1:2">
      <c r="A82" s="8" t="s">
        <v>163</v>
      </c>
      <c r="B82" t="s">
        <v>161</v>
      </c>
    </row>
    <row r="83" spans="1:2">
      <c r="A83" s="8" t="s">
        <v>176</v>
      </c>
      <c r="B83" t="s">
        <v>104</v>
      </c>
    </row>
    <row r="84" spans="1:2">
      <c r="A84" s="8" t="s">
        <v>177</v>
      </c>
      <c r="B84" t="s">
        <v>162</v>
      </c>
    </row>
    <row r="85" spans="1:2">
      <c r="A85" s="8" t="s">
        <v>815</v>
      </c>
      <c r="B85" t="s">
        <v>20</v>
      </c>
    </row>
    <row r="86" spans="1:2">
      <c r="A86" s="8" t="s">
        <v>816</v>
      </c>
    </row>
    <row r="87" spans="1:2">
      <c r="A87" s="8" t="s">
        <v>817</v>
      </c>
      <c r="B87" t="s">
        <v>1437</v>
      </c>
    </row>
    <row r="88" spans="1:2">
      <c r="A88" s="8" t="s">
        <v>818</v>
      </c>
    </row>
    <row r="89" spans="1:2">
      <c r="A89" s="8" t="s">
        <v>819</v>
      </c>
    </row>
    <row r="90" spans="1:2">
      <c r="A90" s="8" t="s">
        <v>1229</v>
      </c>
      <c r="B90" t="s">
        <v>55</v>
      </c>
    </row>
    <row r="91" spans="1:2">
      <c r="A91" s="8" t="s">
        <v>820</v>
      </c>
    </row>
    <row r="92" spans="1:2">
      <c r="A92" s="8" t="s">
        <v>821</v>
      </c>
      <c r="B92" t="s">
        <v>1434</v>
      </c>
    </row>
    <row r="93" spans="1:2">
      <c r="A93" s="8" t="s">
        <v>822</v>
      </c>
    </row>
    <row r="94" spans="1:2">
      <c r="A94" s="8" t="s">
        <v>823</v>
      </c>
    </row>
    <row r="95" spans="1:2">
      <c r="A95" s="8" t="s">
        <v>824</v>
      </c>
    </row>
    <row r="96" spans="1:2">
      <c r="A96" s="8" t="s">
        <v>167</v>
      </c>
      <c r="B96" t="s">
        <v>14</v>
      </c>
    </row>
    <row r="97" spans="1:2">
      <c r="A97" s="8" t="s">
        <v>825</v>
      </c>
      <c r="B97" t="s">
        <v>1334</v>
      </c>
    </row>
    <row r="98" spans="1:2">
      <c r="A98" s="8" t="s">
        <v>826</v>
      </c>
      <c r="B98" t="s">
        <v>1335</v>
      </c>
    </row>
    <row r="99" spans="1:2">
      <c r="A99" s="8" t="s">
        <v>827</v>
      </c>
      <c r="B99" t="s">
        <v>1336</v>
      </c>
    </row>
    <row r="100" spans="1:2">
      <c r="A100" s="8" t="s">
        <v>828</v>
      </c>
      <c r="B100" t="s">
        <v>1337</v>
      </c>
    </row>
    <row r="101" spans="1:2">
      <c r="A101" s="8" t="s">
        <v>167</v>
      </c>
      <c r="B101" t="s">
        <v>14</v>
      </c>
    </row>
    <row r="102" spans="1:2">
      <c r="A102" s="8" t="s">
        <v>166</v>
      </c>
      <c r="B102" t="s">
        <v>170</v>
      </c>
    </row>
    <row r="103" spans="1:2">
      <c r="A103" s="8" t="s">
        <v>168</v>
      </c>
      <c r="B103" t="s">
        <v>171</v>
      </c>
    </row>
    <row r="104" spans="1:2">
      <c r="A104" s="8" t="s">
        <v>169</v>
      </c>
      <c r="B104" t="s">
        <v>172</v>
      </c>
    </row>
    <row r="105" spans="1:2">
      <c r="A105" s="8" t="s">
        <v>149</v>
      </c>
      <c r="B105" t="s">
        <v>150</v>
      </c>
    </row>
    <row r="106" spans="1:2">
      <c r="A106" s="8" t="s">
        <v>455</v>
      </c>
      <c r="B106" t="s">
        <v>131</v>
      </c>
    </row>
    <row r="107" spans="1:2">
      <c r="A107" s="8" t="s">
        <v>813</v>
      </c>
      <c r="B107" t="s">
        <v>86</v>
      </c>
    </row>
    <row r="108" spans="1:2">
      <c r="A108" s="8" t="s">
        <v>811</v>
      </c>
      <c r="B108" t="s">
        <v>84</v>
      </c>
    </row>
    <row r="109" spans="1:2">
      <c r="A109" s="8" t="s">
        <v>797</v>
      </c>
      <c r="B109" t="s">
        <v>85</v>
      </c>
    </row>
    <row r="110" spans="1:2">
      <c r="A110" s="8" t="s">
        <v>2129</v>
      </c>
      <c r="B110" t="s">
        <v>2130</v>
      </c>
    </row>
    <row r="111" spans="1:2">
      <c r="A111" s="8" t="s">
        <v>286</v>
      </c>
      <c r="B111" t="s">
        <v>812</v>
      </c>
    </row>
    <row r="112" spans="1:2">
      <c r="A112" s="8" t="s">
        <v>2135</v>
      </c>
      <c r="B112" t="s">
        <v>2144</v>
      </c>
    </row>
    <row r="113" spans="1:2">
      <c r="A113" s="8" t="s">
        <v>2136</v>
      </c>
      <c r="B113" t="s">
        <v>2145</v>
      </c>
    </row>
    <row r="114" spans="1:2">
      <c r="A114" s="8" t="s">
        <v>2137</v>
      </c>
      <c r="B114" t="s">
        <v>2146</v>
      </c>
    </row>
    <row r="115" spans="1:2">
      <c r="A115" s="8" t="s">
        <v>2138</v>
      </c>
      <c r="B115" t="s">
        <v>2147</v>
      </c>
    </row>
    <row r="116" spans="1:2">
      <c r="A116" s="8" t="s">
        <v>2139</v>
      </c>
      <c r="B116" t="s">
        <v>2148</v>
      </c>
    </row>
    <row r="117" spans="1:2">
      <c r="A117" s="8" t="s">
        <v>2140</v>
      </c>
      <c r="B117" t="s">
        <v>2149</v>
      </c>
    </row>
    <row r="118" spans="1:2">
      <c r="A118" s="8" t="s">
        <v>2141</v>
      </c>
      <c r="B118" t="s">
        <v>2150</v>
      </c>
    </row>
    <row r="119" spans="1:2">
      <c r="A119" s="8" t="s">
        <v>2142</v>
      </c>
      <c r="B119" t="s">
        <v>2151</v>
      </c>
    </row>
    <row r="120" spans="1:2">
      <c r="A120" s="8" t="s">
        <v>2143</v>
      </c>
      <c r="B120" t="s">
        <v>2152</v>
      </c>
    </row>
    <row r="121" spans="1:2">
      <c r="A121" s="8" t="s">
        <v>1427</v>
      </c>
      <c r="B121" t="s">
        <v>1428</v>
      </c>
    </row>
    <row r="122" spans="1:2">
      <c r="A122" s="8" t="s">
        <v>814</v>
      </c>
      <c r="B122" t="s">
        <v>129</v>
      </c>
    </row>
    <row r="123" spans="1:2" ht="15.75">
      <c r="A123" s="8" t="s">
        <v>2400</v>
      </c>
      <c r="B123" t="s">
        <v>2401</v>
      </c>
    </row>
    <row r="124" spans="1:2">
      <c r="A124" s="8" t="s">
        <v>559</v>
      </c>
      <c r="B124" t="s">
        <v>93</v>
      </c>
    </row>
  </sheetData>
  <sortState xmlns:xlrd2="http://schemas.microsoft.com/office/spreadsheetml/2017/richdata2" ref="A2:B58">
    <sortCondition ref="A2:A58"/>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50"/>
  <sheetViews>
    <sheetView topLeftCell="A19" workbookViewId="0">
      <selection activeCell="I36" sqref="I36"/>
    </sheetView>
  </sheetViews>
  <sheetFormatPr defaultRowHeight="12.75"/>
  <sheetData>
    <row r="2" spans="2:2" s="1" customFormat="1">
      <c r="B2" s="1" t="s">
        <v>1399</v>
      </c>
    </row>
    <row r="3" spans="2:2">
      <c r="B3" t="s">
        <v>1401</v>
      </c>
    </row>
    <row r="4" spans="2:2">
      <c r="B4" t="s">
        <v>1400</v>
      </c>
    </row>
    <row r="6" spans="2:2" s="1" customFormat="1">
      <c r="B6" s="1" t="s">
        <v>1355</v>
      </c>
    </row>
    <row r="7" spans="2:2">
      <c r="B7" t="s">
        <v>1354</v>
      </c>
    </row>
    <row r="8" spans="2:2">
      <c r="B8" t="s">
        <v>1356</v>
      </c>
    </row>
    <row r="9" spans="2:2">
      <c r="B9" t="s">
        <v>1357</v>
      </c>
    </row>
    <row r="10" spans="2:2">
      <c r="B10" t="s">
        <v>1358</v>
      </c>
    </row>
    <row r="11" spans="2:2">
      <c r="B11" t="s">
        <v>1359</v>
      </c>
    </row>
    <row r="12" spans="2:2">
      <c r="B12" t="s">
        <v>1360</v>
      </c>
    </row>
    <row r="13" spans="2:2">
      <c r="B13" t="s">
        <v>1361</v>
      </c>
    </row>
    <row r="14" spans="2:2">
      <c r="B14" t="s">
        <v>1362</v>
      </c>
    </row>
    <row r="15" spans="2:2">
      <c r="B15" t="s">
        <v>1363</v>
      </c>
    </row>
    <row r="16" spans="2:2">
      <c r="B16" t="s">
        <v>1364</v>
      </c>
    </row>
    <row r="17" spans="2:2">
      <c r="B17" t="s">
        <v>1365</v>
      </c>
    </row>
    <row r="21" spans="2:2" s="1" customFormat="1">
      <c r="B21" s="1" t="s">
        <v>1366</v>
      </c>
    </row>
    <row r="22" spans="2:2">
      <c r="B22" t="s">
        <v>1826</v>
      </c>
    </row>
    <row r="23" spans="2:2">
      <c r="B23" t="s">
        <v>1369</v>
      </c>
    </row>
    <row r="24" spans="2:2">
      <c r="B24" t="s">
        <v>1370</v>
      </c>
    </row>
    <row r="25" spans="2:2">
      <c r="B25" t="s">
        <v>1286</v>
      </c>
    </row>
    <row r="26" spans="2:2">
      <c r="B26" t="s">
        <v>1286</v>
      </c>
    </row>
    <row r="27" spans="2:2">
      <c r="B27" t="s">
        <v>1371</v>
      </c>
    </row>
    <row r="28" spans="2:2">
      <c r="B28" t="s">
        <v>1368</v>
      </c>
    </row>
    <row r="29" spans="2:2">
      <c r="B29" t="s">
        <v>1386</v>
      </c>
    </row>
    <row r="30" spans="2:2">
      <c r="B30" t="s">
        <v>1377</v>
      </c>
    </row>
    <row r="31" spans="2:2">
      <c r="B31" t="s">
        <v>1234</v>
      </c>
    </row>
    <row r="32" spans="2:2">
      <c r="B32" t="s">
        <v>1374</v>
      </c>
    </row>
    <row r="33" spans="2:2">
      <c r="B33" t="s">
        <v>1385</v>
      </c>
    </row>
    <row r="34" spans="2:2">
      <c r="B34" t="s">
        <v>1383</v>
      </c>
    </row>
    <row r="35" spans="2:2">
      <c r="B35" t="s">
        <v>1388</v>
      </c>
    </row>
    <row r="36" spans="2:2">
      <c r="B36" t="s">
        <v>1379</v>
      </c>
    </row>
    <row r="37" spans="2:2">
      <c r="B37" t="s">
        <v>1390</v>
      </c>
    </row>
    <row r="38" spans="2:2">
      <c r="B38" t="s">
        <v>1376</v>
      </c>
    </row>
    <row r="39" spans="2:2">
      <c r="B39" t="s">
        <v>1380</v>
      </c>
    </row>
    <row r="40" spans="2:2">
      <c r="B40" t="s">
        <v>1382</v>
      </c>
    </row>
    <row r="41" spans="2:2">
      <c r="B41" t="s">
        <v>1387</v>
      </c>
    </row>
    <row r="42" spans="2:2">
      <c r="B42" t="s">
        <v>1373</v>
      </c>
    </row>
    <row r="43" spans="2:2">
      <c r="B43" t="s">
        <v>1389</v>
      </c>
    </row>
    <row r="44" spans="2:2">
      <c r="B44" t="s">
        <v>1375</v>
      </c>
    </row>
    <row r="45" spans="2:2">
      <c r="B45" t="s">
        <v>1827</v>
      </c>
    </row>
    <row r="46" spans="2:2">
      <c r="B46" t="s">
        <v>1381</v>
      </c>
    </row>
    <row r="47" spans="2:2">
      <c r="B47" t="s">
        <v>1367</v>
      </c>
    </row>
    <row r="48" spans="2:2">
      <c r="B48" t="s">
        <v>1378</v>
      </c>
    </row>
    <row r="49" spans="2:2">
      <c r="B49" t="s">
        <v>1372</v>
      </c>
    </row>
    <row r="50" spans="2:2">
      <c r="B50" t="s">
        <v>1384</v>
      </c>
    </row>
  </sheetData>
  <sortState xmlns:xlrd2="http://schemas.microsoft.com/office/spreadsheetml/2017/richdata2" ref="B23:B50">
    <sortCondition ref="B23:B50"/>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Criteria</vt:lpstr>
      <vt:lpstr>Titles</vt:lpstr>
      <vt:lpstr>Database</vt:lpstr>
      <vt:lpstr>Tables</vt:lpstr>
      <vt:lpstr>Public root</vt:lpstr>
      <vt:lpstr>Systems</vt:lpstr>
      <vt:lpstr>Data</vt:lpstr>
      <vt:lpstr>Database!Print_Area</vt:lpstr>
      <vt:lpstr>Titles!Print_Area</vt:lpstr>
      <vt:lpstr>Database!Print_Titles</vt:lpstr>
      <vt:lpstr>Titles!Print_Titles</vt:lpstr>
    </vt:vector>
  </TitlesOfParts>
  <Company>Damen Shipyards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Frans van der Molen</dc:creator>
  <cp:lastModifiedBy>Frans van der Molen</cp:lastModifiedBy>
  <cp:lastPrinted>2026-05-28T07:12:13Z</cp:lastPrinted>
  <dcterms:created xsi:type="dcterms:W3CDTF">2018-01-10T09:05:24Z</dcterms:created>
  <dcterms:modified xsi:type="dcterms:W3CDTF">2026-06-24T08:57:05Z</dcterms:modified>
</cp:coreProperties>
</file>